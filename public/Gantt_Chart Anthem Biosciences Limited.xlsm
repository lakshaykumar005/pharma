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SUNG\Desktop\AES\Reports\Anthem bio sciences Bangalore\"/>
    </mc:Choice>
  </mc:AlternateContent>
  <xr:revisionPtr revIDLastSave="0" documentId="13_ncr:1_{573F15D5-146E-4F85-B412-41B483478304}" xr6:coauthVersionLast="41" xr6:coauthVersionMax="41" xr10:uidLastSave="{00000000-0000-0000-0000-000000000000}"/>
  <bookViews>
    <workbookView xWindow="-110" yWindow="-110" windowWidth="19420" windowHeight="10300" activeTab="1" xr2:uid="{3E161F63-1283-4AB8-B517-36C44D2A56D7}"/>
  </bookViews>
  <sheets>
    <sheet name="Settings" sheetId="1" r:id="rId1"/>
    <sheet name="Gantt" sheetId="2" r:id="rId2"/>
  </sheets>
  <functionGroups builtInGroupCount="19"/>
  <definedNames>
    <definedName name="_xlnm._FilterDatabase" localSheetId="1" hidden="1">Gantt!$A$13:$AW$35</definedName>
    <definedName name="_xleta.TYPE" hidden="1" xlm="1">#NAME?</definedName>
    <definedName name="WarningList">Gantt!$B$3:!$B$4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AE1" i="2"/>
  <c r="M27" i="2" l="1"/>
  <c r="M28" i="2"/>
  <c r="M19" i="2" l="1"/>
  <c r="M23" i="2"/>
  <c r="M22" i="2"/>
  <c r="M21" i="2"/>
  <c r="M20" i="2"/>
  <c r="M29" i="2" l="1"/>
  <c r="E19" i="1" l="1"/>
  <c r="E20" i="1"/>
  <c r="E21" i="1"/>
  <c r="E22" i="1"/>
  <c r="E23" i="1"/>
  <c r="E24" i="1"/>
  <c r="E18" i="1"/>
  <c r="X2" i="2"/>
  <c r="AE2" i="2"/>
  <c r="D25" i="1" l="1"/>
  <c r="J10" i="1" l="1"/>
  <c r="J11" i="1"/>
  <c r="J12" i="1"/>
  <c r="J13" i="1"/>
  <c r="J14" i="1"/>
  <c r="J15" i="1"/>
  <c r="J16" i="1"/>
  <c r="J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9" i="1"/>
  <c r="AR1" i="2" l="1"/>
</calcChain>
</file>

<file path=xl/sharedStrings.xml><?xml version="1.0" encoding="utf-8"?>
<sst xmlns="http://schemas.openxmlformats.org/spreadsheetml/2006/main" count="272" uniqueCount="114">
  <si>
    <t>⚠</t>
  </si>
  <si>
    <t>Input Column</t>
  </si>
  <si>
    <t>Calculated Column</t>
  </si>
  <si>
    <t>Snapshot Column</t>
  </si>
  <si>
    <t>ids</t>
  </si>
  <si>
    <t>Item details</t>
  </si>
  <si>
    <t>Actual Plan</t>
  </si>
  <si>
    <t>Base Plan</t>
  </si>
  <si>
    <t>Updated on:</t>
  </si>
  <si>
    <t>Saved on:</t>
  </si>
  <si>
    <t>sid</t>
  </si>
  <si>
    <t>rid</t>
  </si>
  <si>
    <t>Type</t>
  </si>
  <si>
    <t>Description</t>
  </si>
  <si>
    <t>Role</t>
  </si>
  <si>
    <t>Team member</t>
  </si>
  <si>
    <t>Start</t>
  </si>
  <si>
    <t>End</t>
  </si>
  <si>
    <t>Ind. Start</t>
  </si>
  <si>
    <t>Ind. End</t>
  </si>
  <si>
    <t>d.id</t>
  </si>
  <si>
    <t>d.item</t>
  </si>
  <si>
    <t>%</t>
  </si>
  <si>
    <t>Work days</t>
  </si>
  <si>
    <t>Settings</t>
  </si>
  <si>
    <t>Gantt</t>
  </si>
  <si>
    <t>Project Details</t>
  </si>
  <si>
    <t>Project Title:</t>
  </si>
  <si>
    <t>Project Priority:</t>
  </si>
  <si>
    <t>Project Timespan</t>
  </si>
  <si>
    <t>-</t>
  </si>
  <si>
    <t>Project Role Type</t>
  </si>
  <si>
    <t>Code</t>
  </si>
  <si>
    <t>#</t>
  </si>
  <si>
    <t>Design</t>
  </si>
  <si>
    <t>DES</t>
  </si>
  <si>
    <t>Project Team</t>
  </si>
  <si>
    <t>Name</t>
  </si>
  <si>
    <t>d. lag</t>
  </si>
  <si>
    <t>d. conn</t>
  </si>
  <si>
    <t>Color by</t>
  </si>
  <si>
    <t>Display</t>
  </si>
  <si>
    <t>Show progress</t>
  </si>
  <si>
    <t>Highlight</t>
  </si>
  <si>
    <t>Today</t>
  </si>
  <si>
    <t>↖</t>
  </si>
  <si>
    <t>↘</t>
  </si>
  <si>
    <t>Holidays</t>
  </si>
  <si>
    <t>T</t>
  </si>
  <si>
    <t>FS</t>
  </si>
  <si>
    <t>S</t>
  </si>
  <si>
    <t>M</t>
  </si>
  <si>
    <t>F</t>
  </si>
  <si>
    <t>🚩</t>
  </si>
  <si>
    <t>♦</t>
  </si>
  <si>
    <t>Project Structure</t>
  </si>
  <si>
    <t>Holiday List</t>
  </si>
  <si>
    <t>Scroll</t>
  </si>
  <si>
    <t>Work / Off Days</t>
  </si>
  <si>
    <t>Monday</t>
  </si>
  <si>
    <t>Tuesday</t>
  </si>
  <si>
    <t>Wednesday</t>
  </si>
  <si>
    <t>Thursday</t>
  </si>
  <si>
    <t>Friday</t>
  </si>
  <si>
    <t>Saturday</t>
  </si>
  <si>
    <t>Sunday</t>
  </si>
  <si>
    <t>Work</t>
  </si>
  <si>
    <t>W</t>
  </si>
  <si>
    <t>FF</t>
  </si>
  <si>
    <t>Plan</t>
  </si>
  <si>
    <t>Phase-1</t>
  </si>
  <si>
    <t>Procurement planning for demo-plant</t>
  </si>
  <si>
    <t>Procurement planning for sensors</t>
  </si>
  <si>
    <t>Purchase order for demo-plant &amp; sensors</t>
  </si>
  <si>
    <t>Supply &amp; delivery of demo-plant to project site</t>
  </si>
  <si>
    <t>Supply &amp; delivery of sensors to project site</t>
  </si>
  <si>
    <t>Demo-plant installation</t>
  </si>
  <si>
    <t>Commencement of demo-trail</t>
  </si>
  <si>
    <t>Milestone-1</t>
  </si>
  <si>
    <t>Project</t>
  </si>
  <si>
    <t>Service</t>
  </si>
  <si>
    <t>Simulation</t>
  </si>
  <si>
    <t>Accounts &amp; Purchase</t>
  </si>
  <si>
    <t>PRO</t>
  </si>
  <si>
    <t>SER</t>
  </si>
  <si>
    <t>SIM</t>
  </si>
  <si>
    <t>A&amp;P</t>
  </si>
  <si>
    <t>Rahul Karkera</t>
  </si>
  <si>
    <t>Keerthan Gowda</t>
  </si>
  <si>
    <t>Krishnaraj</t>
  </si>
  <si>
    <t>Eshanthraj</t>
  </si>
  <si>
    <t>Sampath</t>
  </si>
  <si>
    <t>Bhushan</t>
  </si>
  <si>
    <t>ANTHEM BIOSCIENCES LIMITED</t>
  </si>
  <si>
    <t>High</t>
  </si>
  <si>
    <t>Phase-2</t>
  </si>
  <si>
    <t>Procurement planning for SCADA software</t>
  </si>
  <si>
    <t>Purchase order for SCADA</t>
  </si>
  <si>
    <t>Supply &amp; delivery of SCADA software</t>
  </si>
  <si>
    <t>Commencement of SCADA</t>
  </si>
  <si>
    <t>Milestone-2</t>
  </si>
  <si>
    <t>Phase-3</t>
  </si>
  <si>
    <t>Procurement planning for Membrane skid</t>
  </si>
  <si>
    <t>Purchase order for membrane skid</t>
  </si>
  <si>
    <t>Supply &amp; delivery of Membrane skid</t>
  </si>
  <si>
    <t>Commencement of Membrane service</t>
  </si>
  <si>
    <t>Milestone-3</t>
  </si>
  <si>
    <t>Project Lead:</t>
  </si>
  <si>
    <t>(T)Commenc…</t>
  </si>
  <si>
    <t>(T)Purchas…</t>
  </si>
  <si>
    <t>(T)Supply …</t>
  </si>
  <si>
    <t>(T)Demo-pl…</t>
  </si>
  <si>
    <t>PROJECT TIMELINE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</si>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</sst>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Auto&quot;"/>
  </numFmts>
  <fonts count="62">
    <font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b/>
      <i/>
      <sz val="10"/>
      <color theme="0"/>
      <name val="Aptos Narrow"/>
      <family val="2"/>
      <scheme val="minor"/>
    </font>
    <font>
      <b/>
      <sz val="9"/>
      <color rgb="FF00B050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u/>
      <sz val="16"/>
      <color theme="1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0"/>
      <color rgb="FFA8EAB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8"/>
      <color rgb="FF000000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16"/>
      <color rgb="FF000000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b/>
      <sz val="8"/>
      <color rgb="FFA6A6A6"/>
      <name val="Aptos Narrow"/>
      <family val="2"/>
      <scheme val="minor"/>
    </font>
    <font>
      <b/>
      <sz val="10"/>
      <color rgb="FF800080"/>
      <name val="Aptos Narrow"/>
      <family val="2"/>
      <scheme val="minor"/>
    </font>
    <font>
      <b/>
      <sz val="10"/>
      <color rgb="FFA6A6A6"/>
      <name val="Aptos Narrow"/>
      <family val="2"/>
      <scheme val="minor"/>
    </font>
    <font>
      <b/>
      <sz val="10"/>
      <color rgb="FFF1A983"/>
      <name val="Aptos Narrow"/>
      <family val="2"/>
      <scheme val="minor"/>
    </font>
    <font>
      <b/>
      <sz val="10"/>
      <color rgb="FFBFBFBF"/>
      <name val="Aptos Narrow"/>
      <family val="2"/>
      <scheme val="minor"/>
    </font>
    <font>
      <sz val="8"/>
      <color rgb="FFA6A6A6"/>
      <name val="Aptos Narrow"/>
      <family val="2"/>
      <scheme val="minor"/>
    </font>
    <font>
      <sz val="10"/>
      <color rgb="FFA6A6A6"/>
      <name val="Aptos Narrow"/>
      <family val="2"/>
      <scheme val="minor"/>
    </font>
    <font>
      <sz val="10"/>
      <color rgb="FFBFBFBF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rgb="FFFFFFFF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u/>
      <sz val="10"/>
      <color theme="1"/>
      <name val="Aptos Narrow"/>
      <family val="2"/>
      <scheme val="minor"/>
    </font>
    <font>
      <sz val="10"/>
      <color rgb="FF004BE2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sz val="8"/>
      <color rgb="FF8ED973"/>
      <name val="Aptos Narrow"/>
      <family val="2"/>
      <scheme val="minor"/>
    </font>
    <font>
      <b/>
      <sz val="8"/>
      <color rgb="FF000000"/>
      <name val="Aptos Narrow"/>
      <scheme val="minor"/>
    </font>
    <font>
      <b/>
      <sz val="10"/>
      <color rgb="FFFFA500"/>
      <name val="Aptos Narrow"/>
      <family val="2"/>
      <scheme val="minor"/>
    </font>
    <font>
      <sz val="10"/>
      <color rgb="FFFFA500"/>
      <name val="Aptos Narrow"/>
      <family val="2"/>
      <scheme val="minor"/>
    </font>
    <font>
      <b/>
      <sz val="8"/>
      <color rgb="FFFFFFFF"/>
      <name val="Aptos Narrow"/>
      <scheme val="minor"/>
    </font>
    <font>
      <sz val="16"/>
      <color rgb="FF000000"/>
      <name val="Aptos Narrow"/>
      <scheme val="minor"/>
    </font>
    <font>
      <sz val="8"/>
      <color rgb="FF000000"/>
      <name val="Aptos Narrow"/>
      <scheme val="minor"/>
    </font>
    <font>
      <sz val="10"/>
      <color rgb="FF000000"/>
      <name val="Aptos Narrow"/>
      <scheme val="minor"/>
    </font>
    <font>
      <sz val="16"/>
      <color rgb="FFFF0000"/>
      <name val="Aptos Narrow"/>
      <scheme val="minor"/>
    </font>
    <font>
      <sz val="8"/>
      <color rgb="FFA6A6A6"/>
      <name val="Aptos Narrow"/>
      <scheme val="minor"/>
    </font>
    <font>
      <sz val="10"/>
      <color rgb="FFA6A6A6"/>
      <name val="Aptos Narrow"/>
      <scheme val="minor"/>
    </font>
    <font>
      <sz val="10"/>
      <color rgb="FFBFBFBF"/>
      <name val="Aptos Narrow"/>
      <scheme val="minor"/>
    </font>
    <font>
      <sz val="10"/>
      <color rgb="FFFFA500"/>
      <name val="Aptos Narrow"/>
      <scheme val="minor"/>
    </font>
    <font>
      <sz val="10"/>
      <color rgb="FFDE4260"/>
      <name val="Aptos Narrow"/>
      <scheme val="minor"/>
    </font>
    <font>
      <sz val="10"/>
      <color rgb="FFFFFFFF"/>
      <name val="Aptos Narrow"/>
      <scheme val="minor"/>
    </font>
    <font>
      <sz val="10"/>
      <color rgb="FF800080"/>
      <name val="Aptos Narrow"/>
      <scheme val="minor"/>
    </font>
    <font>
      <b/>
      <sz val="18"/>
      <color theme="0"/>
      <name val="Aptos Narrow"/>
      <scheme val="minor"/>
    </font>
    <font>
      <b/>
      <sz val="16"/>
      <color rgb="FFFFFFFF"/>
      <name val="Aptos Narrow"/>
      <scheme val="minor"/>
    </font>
    <font>
      <b/>
      <sz val="10"/>
      <color rgb="FF000000"/>
      <name val="Aptos Narrow"/>
      <scheme val="minor"/>
    </font>
    <font>
      <b/>
      <sz val="8"/>
      <color theme="0" tint="-0.499984740745262"/>
      <name val="Aptos Narrow"/>
      <scheme val="minor"/>
    </font>
    <font>
      <sz val="8"/>
      <color theme="0" tint="-0.499984740745262"/>
      <name val="Aptos Narrow"/>
      <scheme val="minor"/>
    </font>
    <font>
      <b/>
      <sz val="20"/>
      <color theme="1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8F3F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8EAB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4BE2"/>
        <bgColor indexed="64"/>
      </patternFill>
    </fill>
    <fill>
      <patternFill patternType="solid">
        <fgColor rgb="FF9BBCFF"/>
        <bgColor indexed="64"/>
      </patternFill>
    </fill>
    <fill>
      <patternFill patternType="solid">
        <fgColor rgb="FFDE4260"/>
        <bgColor indexed="64"/>
      </patternFill>
    </fill>
    <fill>
      <patternFill patternType="solid">
        <fgColor rgb="FFB5E6A2"/>
        <bgColor indexed="64"/>
      </patternFill>
    </fill>
    <fill>
      <patternFill patternType="solid">
        <fgColor rgb="FF7FD3F5"/>
        <bgColor indexed="64"/>
      </patternFill>
    </fill>
    <fill>
      <patternFill patternType="solid">
        <fgColor rgb="FFEB8D9F"/>
        <bgColor indexed="64"/>
      </patternFill>
    </fill>
    <fill>
      <patternFill patternType="solid">
        <fgColor rgb="FF89E394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AA72D4"/>
        <bgColor indexed="64"/>
      </patternFill>
    </fill>
    <fill>
      <patternFill patternType="solid">
        <fgColor rgb="FFDCEAF4"/>
        <bgColor indexed="64"/>
      </patternFill>
    </fill>
  </fills>
  <borders count="9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0.14996795556505021"/>
      </left>
      <right/>
      <top/>
      <bottom style="thin">
        <color theme="0" tint="-4.9989318521683403E-2"/>
      </bottom>
      <diagonal/>
    </border>
    <border>
      <left/>
      <right style="thin">
        <color theme="0" tint="-0.1499679555650502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/>
      <top style="thin">
        <color theme="0" tint="-0.34998626667073579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rgb="FFF2F2F2"/>
      </top>
      <bottom/>
      <diagonal/>
    </border>
    <border>
      <left/>
      <right style="thin">
        <color rgb="FFBFBFBF"/>
      </right>
      <top style="thin">
        <color rgb="FFF2F2F2"/>
      </top>
      <bottom/>
      <diagonal/>
    </border>
    <border>
      <left style="thin">
        <color rgb="FFBFBFBF"/>
      </left>
      <right style="thin">
        <color rgb="FFBFBFBF"/>
      </right>
      <top style="thin">
        <color rgb="FFF2F2F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thin">
        <color rgb="FF808080"/>
      </right>
      <top/>
      <bottom/>
      <diagonal/>
    </border>
    <border>
      <left/>
      <right style="thin">
        <color rgb="FF808080"/>
      </right>
      <top style="thin">
        <color rgb="FFF2F2F2"/>
      </top>
      <bottom/>
      <diagonal/>
    </border>
    <border>
      <left style="thin">
        <color rgb="FF808080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808080"/>
      </right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/>
      <bottom style="thin">
        <color rgb="FFF2F2F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tted">
        <color rgb="FF0E2841"/>
      </right>
      <top/>
      <bottom/>
      <diagonal/>
    </border>
    <border>
      <left/>
      <right style="dotted">
        <color rgb="FF0E2841"/>
      </right>
      <top style="thin">
        <color rgb="FFF2F2F2"/>
      </top>
      <bottom/>
      <diagonal/>
    </border>
    <border>
      <left/>
      <right style="dotted">
        <color rgb="FF0E2841"/>
      </right>
      <top style="thin">
        <color rgb="FFBFBFBF"/>
      </top>
      <bottom/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thin">
        <color rgb="FFBFBFBF"/>
      </right>
      <top style="thin">
        <color rgb="FFF2F2F2"/>
      </top>
      <bottom style="thin">
        <color rgb="FFF2F2F2"/>
      </bottom>
      <diagonal/>
    </border>
    <border>
      <left style="thin">
        <color rgb="FFBFBFBF"/>
      </left>
      <right style="thin">
        <color rgb="FFBFBFBF"/>
      </right>
      <top style="thin">
        <color rgb="FFF2F2F2"/>
      </top>
      <bottom style="thin">
        <color rgb="FFF2F2F2"/>
      </bottom>
      <diagonal/>
    </border>
    <border>
      <left/>
      <right style="dotted">
        <color rgb="FF0E2841"/>
      </right>
      <top style="thin">
        <color rgb="FFF2F2F2"/>
      </top>
      <bottom style="thin">
        <color rgb="FFF2F2F2"/>
      </bottom>
      <diagonal/>
    </border>
    <border>
      <left/>
      <right style="thin">
        <color rgb="FFBFBFBF"/>
      </right>
      <top/>
      <bottom style="thin">
        <color rgb="FFF2F2F2"/>
      </bottom>
      <diagonal/>
    </border>
    <border>
      <left style="thin">
        <color rgb="FFBFBFBF"/>
      </left>
      <right style="thin">
        <color rgb="FFBFBFBF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dotted">
        <color rgb="FF0E2841"/>
      </right>
      <top/>
      <bottom style="thin">
        <color rgb="FFF2F2F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rgb="FFBFBFBF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BFBFBF"/>
      </left>
      <right style="thin">
        <color rgb="FFBFBFBF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rgb="FF808080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dotted">
        <color rgb="FF0E284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rgb="FFBFBFBF"/>
      </right>
      <top/>
      <bottom style="thin">
        <color theme="0" tint="-4.9989318521683403E-2"/>
      </bottom>
      <diagonal/>
    </border>
    <border>
      <left style="thin">
        <color rgb="FFBFBFBF"/>
      </left>
      <right style="thin">
        <color rgb="FFBFBFBF"/>
      </right>
      <top/>
      <bottom style="thin">
        <color theme="0" tint="-4.9989318521683403E-2"/>
      </bottom>
      <diagonal/>
    </border>
    <border>
      <left/>
      <right style="thin">
        <color rgb="FF808080"/>
      </right>
      <top/>
      <bottom style="thin">
        <color theme="0" tint="-4.9989318521683403E-2"/>
      </bottom>
      <diagonal/>
    </border>
    <border>
      <left/>
      <right style="dotted">
        <color rgb="FF0E2841"/>
      </right>
      <top/>
      <bottom style="thin">
        <color theme="0" tint="-4.9989318521683403E-2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808080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dotted">
        <color rgb="FF0E284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rgb="FFBFBFBF"/>
      </right>
      <top style="thin">
        <color theme="0" tint="-4.9989318521683403E-2"/>
      </top>
      <bottom/>
      <diagonal/>
    </border>
    <border>
      <left style="thin">
        <color rgb="FFBFBFBF"/>
      </left>
      <right style="thin">
        <color rgb="FFBFBFBF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rgb="FFF2F2F2"/>
      </bottom>
      <diagonal/>
    </border>
    <border>
      <left/>
      <right style="thin">
        <color rgb="FFBFBFBF"/>
      </right>
      <top style="thin">
        <color theme="0" tint="-4.9989318521683403E-2"/>
      </top>
      <bottom style="thin">
        <color rgb="FFF2F2F2"/>
      </bottom>
      <diagonal/>
    </border>
    <border>
      <left style="thin">
        <color rgb="FFBFBFBF"/>
      </left>
      <right style="thin">
        <color rgb="FFBFBFBF"/>
      </right>
      <top style="thin">
        <color theme="0" tint="-4.9989318521683403E-2"/>
      </top>
      <bottom style="thin">
        <color rgb="FFF2F2F2"/>
      </bottom>
      <diagonal/>
    </border>
    <border>
      <left/>
      <right style="thin">
        <color rgb="FF808080"/>
      </right>
      <top style="thin">
        <color theme="0" tint="-4.9989318521683403E-2"/>
      </top>
      <bottom style="thin">
        <color rgb="FFF2F2F2"/>
      </bottom>
      <diagonal/>
    </border>
    <border>
      <left/>
      <right style="dotted">
        <color rgb="FF0E2841"/>
      </right>
      <top style="thin">
        <color theme="0" tint="-4.9989318521683403E-2"/>
      </top>
      <bottom style="thin">
        <color rgb="FFF2F2F2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F2F2F2"/>
      </bottom>
      <diagonal/>
    </border>
    <border>
      <left style="thin">
        <color rgb="FF808080"/>
      </left>
      <right/>
      <top/>
      <bottom style="thin">
        <color rgb="FFF2F2F2"/>
      </bottom>
      <diagonal/>
    </border>
    <border>
      <left style="thin">
        <color rgb="FF808080"/>
      </left>
      <right/>
      <top style="thin">
        <color rgb="FFBFBFBF"/>
      </top>
      <bottom/>
      <diagonal/>
    </border>
    <border>
      <left style="thin">
        <color rgb="FF808080"/>
      </left>
      <right/>
      <top style="thin">
        <color rgb="FFF2F2F2"/>
      </top>
      <bottom/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808080"/>
      </left>
      <right/>
      <top/>
      <bottom style="thin">
        <color theme="0" tint="-4.9989318521683403E-2"/>
      </bottom>
      <diagonal/>
    </border>
    <border>
      <left style="thin">
        <color rgb="FF80808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808080"/>
      </left>
      <right/>
      <top style="thin">
        <color theme="0" tint="-4.9989318521683403E-2"/>
      </top>
      <bottom style="thin">
        <color rgb="FFF2F2F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rgb="FFF2F2F2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4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0" xfId="0" applyFont="1" applyAlignment="1">
      <alignment horizontal="left" indent="1"/>
    </xf>
    <xf numFmtId="0" fontId="2" fillId="0" borderId="11" xfId="0" applyFont="1" applyBorder="1" applyAlignment="1">
      <alignment horizontal="left" indent="1"/>
    </xf>
    <xf numFmtId="0" fontId="1" fillId="11" borderId="0" xfId="0" applyFont="1" applyFill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2" fillId="0" borderId="11" xfId="0" applyFont="1" applyBorder="1" applyAlignment="1">
      <alignment horizontal="center" vertical="center"/>
    </xf>
    <xf numFmtId="0" fontId="1" fillId="12" borderId="18" xfId="0" applyFont="1" applyFill="1" applyBorder="1" applyAlignment="1">
      <alignment horizontal="left" indent="1"/>
    </xf>
    <xf numFmtId="0" fontId="1" fillId="12" borderId="19" xfId="0" applyFont="1" applyFill="1" applyBorder="1" applyAlignment="1">
      <alignment horizontal="left" indent="1"/>
    </xf>
    <xf numFmtId="0" fontId="1" fillId="13" borderId="20" xfId="0" applyFont="1" applyFill="1" applyBorder="1"/>
    <xf numFmtId="0" fontId="1" fillId="12" borderId="5" xfId="0" applyFont="1" applyFill="1" applyBorder="1" applyAlignment="1">
      <alignment horizontal="left" indent="1"/>
    </xf>
    <xf numFmtId="0" fontId="1" fillId="12" borderId="21" xfId="0" applyFont="1" applyFill="1" applyBorder="1" applyAlignment="1">
      <alignment horizontal="left" indent="1"/>
    </xf>
    <xf numFmtId="0" fontId="1" fillId="13" borderId="3" xfId="0" applyFont="1" applyFill="1" applyBorder="1"/>
    <xf numFmtId="0" fontId="1" fillId="12" borderId="22" xfId="0" applyFont="1" applyFill="1" applyBorder="1" applyAlignment="1">
      <alignment horizontal="left" indent="1"/>
    </xf>
    <xf numFmtId="0" fontId="1" fillId="12" borderId="23" xfId="0" applyFont="1" applyFill="1" applyBorder="1" applyAlignment="1">
      <alignment horizontal="left" indent="1"/>
    </xf>
    <xf numFmtId="0" fontId="1" fillId="13" borderId="24" xfId="0" applyFont="1" applyFill="1" applyBorder="1"/>
    <xf numFmtId="0" fontId="8" fillId="3" borderId="0" xfId="0" applyFont="1" applyFill="1" applyAlignment="1">
      <alignment horizontal="center" vertical="center" wrapText="1"/>
    </xf>
    <xf numFmtId="0" fontId="18" fillId="0" borderId="0" xfId="0" applyFont="1"/>
    <xf numFmtId="15" fontId="1" fillId="12" borderId="18" xfId="0" applyNumberFormat="1" applyFont="1" applyFill="1" applyBorder="1" applyAlignment="1">
      <alignment horizontal="left" indent="1"/>
    </xf>
    <xf numFmtId="0" fontId="0" fillId="15" borderId="0" xfId="0" applyFill="1"/>
    <xf numFmtId="0" fontId="1" fillId="15" borderId="0" xfId="0" applyFont="1" applyFill="1"/>
    <xf numFmtId="14" fontId="1" fillId="15" borderId="0" xfId="0" applyNumberFormat="1" applyFont="1" applyFill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20" fillId="16" borderId="31" xfId="0" applyFont="1" applyFill="1" applyBorder="1"/>
    <xf numFmtId="14" fontId="37" fillId="15" borderId="0" xfId="0" applyNumberFormat="1" applyFont="1" applyFill="1"/>
    <xf numFmtId="0" fontId="20" fillId="16" borderId="26" xfId="0" applyFont="1" applyFill="1" applyBorder="1" applyAlignment="1">
      <alignment horizontal="left"/>
    </xf>
    <xf numFmtId="0" fontId="20" fillId="16" borderId="32" xfId="0" applyFont="1" applyFill="1" applyBorder="1" applyAlignment="1">
      <alignment horizontal="left"/>
    </xf>
    <xf numFmtId="0" fontId="22" fillId="0" borderId="26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 indent="1"/>
    </xf>
    <xf numFmtId="0" fontId="31" fillId="0" borderId="26" xfId="0" applyFont="1" applyBorder="1" applyAlignment="1">
      <alignment horizontal="center"/>
    </xf>
    <xf numFmtId="0" fontId="21" fillId="0" borderId="26" xfId="0" applyFont="1" applyBorder="1" applyAlignment="1">
      <alignment horizontal="left"/>
    </xf>
    <xf numFmtId="0" fontId="19" fillId="0" borderId="27" xfId="0" applyFont="1" applyBorder="1" applyAlignment="1">
      <alignment horizontal="left"/>
    </xf>
    <xf numFmtId="15" fontId="21" fillId="0" borderId="26" xfId="0" applyNumberFormat="1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15" fontId="21" fillId="0" borderId="26" xfId="0" applyNumberFormat="1" applyFont="1" applyBorder="1" applyAlignment="1">
      <alignment horizontal="left"/>
    </xf>
    <xf numFmtId="15" fontId="21" fillId="0" borderId="27" xfId="0" applyNumberFormat="1" applyFont="1" applyBorder="1" applyAlignment="1">
      <alignment horizontal="left"/>
    </xf>
    <xf numFmtId="15" fontId="33" fillId="0" borderId="26" xfId="0" applyNumberFormat="1" applyFont="1" applyBorder="1" applyAlignment="1">
      <alignment horizontal="left"/>
    </xf>
    <xf numFmtId="0" fontId="1" fillId="20" borderId="0" xfId="0" applyFont="1" applyFill="1"/>
    <xf numFmtId="0" fontId="32" fillId="0" borderId="36" xfId="0" applyFont="1" applyBorder="1" applyAlignment="1">
      <alignment horizontal="center"/>
    </xf>
    <xf numFmtId="0" fontId="3" fillId="23" borderId="0" xfId="0" applyFont="1" applyFill="1" applyAlignment="1">
      <alignment horizontal="center" vertical="center"/>
    </xf>
    <xf numFmtId="9" fontId="21" fillId="0" borderId="28" xfId="0" applyNumberFormat="1" applyFont="1" applyBorder="1" applyAlignment="1">
      <alignment horizontal="center"/>
    </xf>
    <xf numFmtId="0" fontId="21" fillId="16" borderId="26" xfId="0" applyFont="1" applyFill="1" applyBorder="1" applyAlignment="1">
      <alignment horizontal="center"/>
    </xf>
    <xf numFmtId="0" fontId="21" fillId="0" borderId="37" xfId="0" applyFont="1" applyBorder="1" applyAlignment="1">
      <alignment horizontal="left" indent="1"/>
    </xf>
    <xf numFmtId="0" fontId="20" fillId="16" borderId="37" xfId="0" applyFont="1" applyFill="1" applyBorder="1" applyAlignment="1">
      <alignment horizontal="left"/>
    </xf>
    <xf numFmtId="0" fontId="20" fillId="16" borderId="38" xfId="0" applyFont="1" applyFill="1" applyBorder="1" applyAlignment="1">
      <alignment horizontal="left"/>
    </xf>
    <xf numFmtId="0" fontId="22" fillId="0" borderId="37" xfId="0" applyFont="1" applyBorder="1" applyAlignment="1">
      <alignment horizontal="center"/>
    </xf>
    <xf numFmtId="0" fontId="22" fillId="0" borderId="39" xfId="0" applyFont="1" applyBorder="1" applyAlignment="1">
      <alignment horizontal="center"/>
    </xf>
    <xf numFmtId="0" fontId="21" fillId="0" borderId="37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21" fillId="0" borderId="37" xfId="0" applyFont="1" applyBorder="1" applyAlignment="1">
      <alignment horizontal="left"/>
    </xf>
    <xf numFmtId="0" fontId="19" fillId="0" borderId="39" xfId="0" applyFont="1" applyBorder="1" applyAlignment="1">
      <alignment horizontal="left"/>
    </xf>
    <xf numFmtId="15" fontId="21" fillId="0" borderId="37" xfId="0" applyNumberFormat="1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15" fontId="21" fillId="0" borderId="37" xfId="0" applyNumberFormat="1" applyFont="1" applyBorder="1" applyAlignment="1">
      <alignment horizontal="left"/>
    </xf>
    <xf numFmtId="15" fontId="21" fillId="0" borderId="39" xfId="0" applyNumberFormat="1" applyFont="1" applyBorder="1" applyAlignment="1">
      <alignment horizontal="left"/>
    </xf>
    <xf numFmtId="15" fontId="33" fillId="0" borderId="37" xfId="0" applyNumberFormat="1" applyFont="1" applyBorder="1" applyAlignment="1">
      <alignment horizontal="left"/>
    </xf>
    <xf numFmtId="9" fontId="21" fillId="0" borderId="40" xfId="0" applyNumberFormat="1" applyFont="1" applyBorder="1" applyAlignment="1">
      <alignment horizontal="center"/>
    </xf>
    <xf numFmtId="0" fontId="18" fillId="10" borderId="0" xfId="0" applyFont="1" applyFill="1"/>
    <xf numFmtId="0" fontId="14" fillId="0" borderId="0" xfId="0" applyFont="1"/>
    <xf numFmtId="15" fontId="1" fillId="12" borderId="42" xfId="0" applyNumberFormat="1" applyFont="1" applyFill="1" applyBorder="1" applyAlignment="1">
      <alignment horizontal="left" indent="1"/>
    </xf>
    <xf numFmtId="15" fontId="1" fillId="12" borderId="43" xfId="0" applyNumberFormat="1" applyFont="1" applyFill="1" applyBorder="1" applyAlignment="1">
      <alignment horizontal="left" indent="1"/>
    </xf>
    <xf numFmtId="0" fontId="14" fillId="0" borderId="7" xfId="0" applyFont="1" applyBorder="1"/>
    <xf numFmtId="0" fontId="18" fillId="15" borderId="0" xfId="0" applyFont="1" applyFill="1"/>
    <xf numFmtId="0" fontId="35" fillId="0" borderId="37" xfId="0" applyFont="1" applyBorder="1" applyAlignment="1">
      <alignment horizontal="center"/>
    </xf>
    <xf numFmtId="0" fontId="20" fillId="18" borderId="26" xfId="0" applyFont="1" applyFill="1" applyBorder="1" applyAlignment="1">
      <alignment horizontal="left"/>
    </xf>
    <xf numFmtId="0" fontId="20" fillId="16" borderId="0" xfId="0" applyFont="1" applyFill="1"/>
    <xf numFmtId="0" fontId="20" fillId="22" borderId="26" xfId="0" applyFont="1" applyFill="1" applyBorder="1" applyAlignment="1">
      <alignment horizontal="left"/>
    </xf>
    <xf numFmtId="0" fontId="0" fillId="16" borderId="6" xfId="0" applyFill="1" applyBorder="1"/>
    <xf numFmtId="0" fontId="20" fillId="0" borderId="0" xfId="0" applyFont="1"/>
    <xf numFmtId="0" fontId="0" fillId="0" borderId="44" xfId="0" applyBorder="1"/>
    <xf numFmtId="0" fontId="20" fillId="16" borderId="45" xfId="0" applyFont="1" applyFill="1" applyBorder="1" applyAlignment="1">
      <alignment horizontal="left"/>
    </xf>
    <xf numFmtId="0" fontId="1" fillId="16" borderId="0" xfId="0" applyFont="1" applyFill="1"/>
    <xf numFmtId="0" fontId="21" fillId="16" borderId="26" xfId="0" applyFont="1" applyFill="1" applyBorder="1" applyAlignment="1">
      <alignment horizontal="left"/>
    </xf>
    <xf numFmtId="0" fontId="21" fillId="16" borderId="32" xfId="0" applyFont="1" applyFill="1" applyBorder="1" applyAlignment="1">
      <alignment horizontal="left"/>
    </xf>
    <xf numFmtId="0" fontId="35" fillId="0" borderId="26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15" fontId="21" fillId="0" borderId="34" xfId="0" applyNumberFormat="1" applyFont="1" applyBorder="1" applyAlignment="1">
      <alignment horizontal="left"/>
    </xf>
    <xf numFmtId="9" fontId="21" fillId="0" borderId="35" xfId="0" applyNumberFormat="1" applyFont="1" applyBorder="1" applyAlignment="1">
      <alignment horizontal="center"/>
    </xf>
    <xf numFmtId="0" fontId="20" fillId="16" borderId="44" xfId="0" applyFont="1" applyFill="1" applyBorder="1" applyAlignment="1">
      <alignment horizontal="left"/>
    </xf>
    <xf numFmtId="0" fontId="20" fillId="16" borderId="31" xfId="0" applyFont="1" applyFill="1" applyBorder="1" applyAlignment="1">
      <alignment horizontal="left"/>
    </xf>
    <xf numFmtId="0" fontId="19" fillId="0" borderId="34" xfId="0" applyFont="1" applyBorder="1" applyAlignment="1">
      <alignment horizontal="left"/>
    </xf>
    <xf numFmtId="0" fontId="20" fillId="16" borderId="36" xfId="0" applyFont="1" applyFill="1" applyBorder="1" applyAlignment="1">
      <alignment horizontal="left"/>
    </xf>
    <xf numFmtId="0" fontId="20" fillId="16" borderId="47" xfId="0" applyFont="1" applyFill="1" applyBorder="1" applyAlignment="1">
      <alignment horizontal="left"/>
    </xf>
    <xf numFmtId="0" fontId="22" fillId="0" borderId="36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1" fillId="0" borderId="36" xfId="0" applyFont="1" applyBorder="1" applyAlignment="1">
      <alignment horizontal="center"/>
    </xf>
    <xf numFmtId="0" fontId="21" fillId="0" borderId="36" xfId="0" applyFont="1" applyBorder="1" applyAlignment="1">
      <alignment horizontal="left"/>
    </xf>
    <xf numFmtId="0" fontId="21" fillId="0" borderId="36" xfId="0" applyFont="1" applyBorder="1" applyAlignment="1">
      <alignment horizontal="left" indent="1"/>
    </xf>
    <xf numFmtId="0" fontId="31" fillId="0" borderId="36" xfId="0" applyFont="1" applyBorder="1" applyAlignment="1">
      <alignment horizontal="center"/>
    </xf>
    <xf numFmtId="15" fontId="21" fillId="0" borderId="36" xfId="0" applyNumberFormat="1" applyFont="1" applyBorder="1" applyAlignment="1">
      <alignment horizontal="left"/>
    </xf>
    <xf numFmtId="15" fontId="21" fillId="0" borderId="36" xfId="0" applyNumberFormat="1" applyFont="1" applyBorder="1" applyAlignment="1">
      <alignment horizontal="center"/>
    </xf>
    <xf numFmtId="0" fontId="21" fillId="0" borderId="49" xfId="0" applyFont="1" applyBorder="1" applyAlignment="1">
      <alignment horizontal="center"/>
    </xf>
    <xf numFmtId="15" fontId="21" fillId="0" borderId="48" xfId="0" applyNumberFormat="1" applyFont="1" applyBorder="1" applyAlignment="1">
      <alignment horizontal="left"/>
    </xf>
    <xf numFmtId="15" fontId="33" fillId="0" borderId="36" xfId="0" applyNumberFormat="1" applyFont="1" applyBorder="1" applyAlignment="1">
      <alignment horizontal="left"/>
    </xf>
    <xf numFmtId="9" fontId="21" fillId="0" borderId="49" xfId="0" applyNumberFormat="1" applyFont="1" applyBorder="1" applyAlignment="1">
      <alignment horizontal="center"/>
    </xf>
    <xf numFmtId="0" fontId="19" fillId="0" borderId="48" xfId="0" applyFont="1" applyBorder="1" applyAlignment="1">
      <alignment horizontal="left"/>
    </xf>
    <xf numFmtId="0" fontId="20" fillId="16" borderId="50" xfId="0" applyFont="1" applyFill="1" applyBorder="1" applyAlignment="1">
      <alignment horizontal="left"/>
    </xf>
    <xf numFmtId="0" fontId="0" fillId="0" borderId="0" xfId="0" applyFill="1"/>
    <xf numFmtId="15" fontId="22" fillId="0" borderId="0" xfId="0" applyNumberFormat="1" applyFont="1" applyFill="1" applyBorder="1" applyAlignment="1">
      <alignment horizontal="center" vertical="top" textRotation="90"/>
    </xf>
    <xf numFmtId="15" fontId="9" fillId="0" borderId="0" xfId="0" applyNumberFormat="1" applyFont="1" applyFill="1" applyBorder="1" applyAlignment="1">
      <alignment horizontal="center" vertical="top" textRotation="90"/>
    </xf>
    <xf numFmtId="15" fontId="40" fillId="0" borderId="0" xfId="0" applyNumberFormat="1" applyFont="1" applyFill="1" applyBorder="1" applyAlignment="1">
      <alignment horizontal="center" vertical="top" textRotation="90"/>
    </xf>
    <xf numFmtId="15" fontId="9" fillId="0" borderId="0" xfId="0" applyNumberFormat="1" applyFont="1" applyFill="1" applyBorder="1" applyAlignment="1">
      <alignment vertical="top" textRotation="90"/>
    </xf>
    <xf numFmtId="0" fontId="0" fillId="0" borderId="0" xfId="0" applyFill="1" applyBorder="1" applyAlignment="1">
      <alignment vertical="top"/>
    </xf>
    <xf numFmtId="0" fontId="39" fillId="0" borderId="0" xfId="0" applyFont="1" applyFill="1" applyBorder="1"/>
    <xf numFmtId="0" fontId="0" fillId="0" borderId="0" xfId="0" applyFill="1" applyBorder="1"/>
    <xf numFmtId="0" fontId="0" fillId="0" borderId="0" xfId="0" applyBorder="1"/>
    <xf numFmtId="0" fontId="20" fillId="16" borderId="0" xfId="0" applyFont="1" applyFill="1" applyBorder="1" applyAlignment="1">
      <alignment horizontal="left"/>
    </xf>
    <xf numFmtId="0" fontId="20" fillId="18" borderId="0" xfId="0" applyFont="1" applyFill="1" applyBorder="1" applyAlignment="1">
      <alignment horizontal="left"/>
    </xf>
    <xf numFmtId="0" fontId="20" fillId="0" borderId="0" xfId="0" applyFont="1" applyBorder="1" applyAlignment="1">
      <alignment horizontal="left"/>
    </xf>
    <xf numFmtId="0" fontId="20" fillId="16" borderId="0" xfId="0" applyFont="1" applyFill="1" applyBorder="1"/>
    <xf numFmtId="0" fontId="38" fillId="16" borderId="26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left"/>
    </xf>
    <xf numFmtId="0" fontId="20" fillId="0" borderId="26" xfId="0" applyFont="1" applyFill="1" applyBorder="1" applyAlignment="1">
      <alignment horizontal="left"/>
    </xf>
    <xf numFmtId="0" fontId="20" fillId="0" borderId="37" xfId="0" applyFont="1" applyFill="1" applyBorder="1" applyAlignment="1">
      <alignment horizontal="left"/>
    </xf>
    <xf numFmtId="0" fontId="20" fillId="0" borderId="36" xfId="0" applyFont="1" applyFill="1" applyBorder="1" applyAlignment="1">
      <alignment horizontal="left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 applyAlignment="1">
      <alignment horizontal="left" indent="1"/>
    </xf>
    <xf numFmtId="15" fontId="21" fillId="0" borderId="0" xfId="0" applyNumberFormat="1" applyFont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left"/>
    </xf>
    <xf numFmtId="0" fontId="24" fillId="17" borderId="0" xfId="0" applyFont="1" applyFill="1" applyBorder="1" applyAlignment="1">
      <alignment horizontal="left"/>
    </xf>
    <xf numFmtId="0" fontId="26" fillId="0" borderId="0" xfId="0" applyFont="1" applyBorder="1" applyAlignment="1">
      <alignment horizontal="center"/>
    </xf>
    <xf numFmtId="0" fontId="34" fillId="0" borderId="34" xfId="0" applyFont="1" applyBorder="1" applyAlignment="1">
      <alignment horizontal="left"/>
    </xf>
    <xf numFmtId="164" fontId="27" fillId="0" borderId="0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7" fillId="0" borderId="35" xfId="0" applyFont="1" applyBorder="1" applyAlignment="1">
      <alignment horizontal="center"/>
    </xf>
    <xf numFmtId="15" fontId="23" fillId="0" borderId="0" xfId="0" applyNumberFormat="1" applyFont="1" applyBorder="1" applyAlignment="1">
      <alignment horizontal="left"/>
    </xf>
    <xf numFmtId="15" fontId="30" fillId="0" borderId="0" xfId="0" applyNumberFormat="1" applyFont="1" applyBorder="1" applyAlignment="1">
      <alignment horizontal="left"/>
    </xf>
    <xf numFmtId="9" fontId="27" fillId="0" borderId="35" xfId="0" applyNumberFormat="1" applyFont="1" applyBorder="1" applyAlignment="1">
      <alignment horizontal="center"/>
    </xf>
    <xf numFmtId="0" fontId="24" fillId="16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15" fontId="21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15" fontId="33" fillId="0" borderId="0" xfId="0" applyNumberFormat="1" applyFont="1" applyBorder="1" applyAlignment="1">
      <alignment horizontal="left"/>
    </xf>
    <xf numFmtId="0" fontId="20" fillId="18" borderId="36" xfId="0" applyFont="1" applyFill="1" applyBorder="1" applyAlignment="1">
      <alignment horizontal="left"/>
    </xf>
    <xf numFmtId="0" fontId="24" fillId="17" borderId="3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0" fillId="18" borderId="37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0" fillId="22" borderId="0" xfId="0" applyFont="1" applyFill="1" applyBorder="1" applyAlignment="1">
      <alignment horizontal="left"/>
    </xf>
    <xf numFmtId="0" fontId="22" fillId="0" borderId="41" xfId="0" applyFont="1" applyBorder="1" applyAlignment="1">
      <alignment horizontal="center"/>
    </xf>
    <xf numFmtId="0" fontId="22" fillId="0" borderId="51" xfId="0" applyFont="1" applyBorder="1" applyAlignment="1">
      <alignment horizontal="center"/>
    </xf>
    <xf numFmtId="0" fontId="21" fillId="0" borderId="41" xfId="0" applyFont="1" applyBorder="1" applyAlignment="1">
      <alignment horizontal="center"/>
    </xf>
    <xf numFmtId="0" fontId="21" fillId="0" borderId="41" xfId="0" applyFont="1" applyBorder="1" applyAlignment="1">
      <alignment horizontal="left" indent="1"/>
    </xf>
    <xf numFmtId="0" fontId="20" fillId="22" borderId="41" xfId="0" applyFont="1" applyFill="1" applyBorder="1" applyAlignment="1">
      <alignment horizontal="left"/>
    </xf>
    <xf numFmtId="0" fontId="31" fillId="0" borderId="41" xfId="0" applyFont="1" applyBorder="1" applyAlignment="1">
      <alignment horizontal="center"/>
    </xf>
    <xf numFmtId="0" fontId="21" fillId="0" borderId="41" xfId="0" applyFont="1" applyBorder="1" applyAlignment="1">
      <alignment horizontal="left"/>
    </xf>
    <xf numFmtId="0" fontId="19" fillId="0" borderId="51" xfId="0" applyFont="1" applyBorder="1" applyAlignment="1">
      <alignment horizontal="left"/>
    </xf>
    <xf numFmtId="15" fontId="21" fillId="0" borderId="41" xfId="0" applyNumberFormat="1" applyFont="1" applyBorder="1" applyAlignment="1">
      <alignment horizontal="center"/>
    </xf>
    <xf numFmtId="0" fontId="32" fillId="0" borderId="41" xfId="0" applyFont="1" applyBorder="1" applyAlignment="1">
      <alignment horizontal="center"/>
    </xf>
    <xf numFmtId="0" fontId="35" fillId="0" borderId="41" xfId="0" applyFont="1" applyBorder="1" applyAlignment="1">
      <alignment horizontal="center"/>
    </xf>
    <xf numFmtId="0" fontId="21" fillId="0" borderId="52" xfId="0" applyFont="1" applyBorder="1" applyAlignment="1">
      <alignment horizontal="center"/>
    </xf>
    <xf numFmtId="15" fontId="21" fillId="0" borderId="41" xfId="0" applyNumberFormat="1" applyFont="1" applyBorder="1" applyAlignment="1">
      <alignment horizontal="left"/>
    </xf>
    <xf numFmtId="15" fontId="21" fillId="0" borderId="51" xfId="0" applyNumberFormat="1" applyFont="1" applyBorder="1" applyAlignment="1">
      <alignment horizontal="left"/>
    </xf>
    <xf numFmtId="15" fontId="33" fillId="0" borderId="41" xfId="0" applyNumberFormat="1" applyFont="1" applyBorder="1" applyAlignment="1">
      <alignment horizontal="left"/>
    </xf>
    <xf numFmtId="9" fontId="21" fillId="0" borderId="52" xfId="0" applyNumberFormat="1" applyFont="1" applyBorder="1" applyAlignment="1">
      <alignment horizontal="center"/>
    </xf>
    <xf numFmtId="0" fontId="20" fillId="16" borderId="41" xfId="0" applyFont="1" applyFill="1" applyBorder="1" applyAlignment="1">
      <alignment horizontal="left"/>
    </xf>
    <xf numFmtId="0" fontId="20" fillId="16" borderId="53" xfId="0" applyFont="1" applyFill="1" applyBorder="1" applyAlignment="1">
      <alignment horizontal="left"/>
    </xf>
    <xf numFmtId="0" fontId="20" fillId="16" borderId="54" xfId="0" applyFont="1" applyFill="1" applyBorder="1" applyAlignment="1">
      <alignment horizontal="left"/>
    </xf>
    <xf numFmtId="0" fontId="20" fillId="0" borderId="41" xfId="0" applyFont="1" applyFill="1" applyBorder="1" applyAlignment="1">
      <alignment horizontal="left"/>
    </xf>
    <xf numFmtId="0" fontId="22" fillId="0" borderId="55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1" fillId="0" borderId="55" xfId="0" applyFont="1" applyBorder="1" applyAlignment="1">
      <alignment horizontal="center"/>
    </xf>
    <xf numFmtId="0" fontId="21" fillId="0" borderId="55" xfId="0" applyFont="1" applyBorder="1" applyAlignment="1">
      <alignment horizontal="left" indent="1"/>
    </xf>
    <xf numFmtId="0" fontId="20" fillId="25" borderId="55" xfId="0" applyFont="1" applyFill="1" applyBorder="1" applyAlignment="1">
      <alignment horizontal="left"/>
    </xf>
    <xf numFmtId="0" fontId="31" fillId="0" borderId="55" xfId="0" applyFont="1" applyBorder="1" applyAlignment="1">
      <alignment horizontal="center"/>
    </xf>
    <xf numFmtId="0" fontId="21" fillId="0" borderId="55" xfId="0" applyFont="1" applyBorder="1" applyAlignment="1">
      <alignment horizontal="left"/>
    </xf>
    <xf numFmtId="0" fontId="19" fillId="0" borderId="56" xfId="0" applyFont="1" applyBorder="1" applyAlignment="1">
      <alignment horizontal="left"/>
    </xf>
    <xf numFmtId="15" fontId="21" fillId="0" borderId="55" xfId="0" applyNumberFormat="1" applyFont="1" applyBorder="1" applyAlignment="1">
      <alignment horizontal="center"/>
    </xf>
    <xf numFmtId="0" fontId="32" fillId="0" borderId="55" xfId="0" applyFont="1" applyBorder="1" applyAlignment="1">
      <alignment horizontal="center"/>
    </xf>
    <xf numFmtId="0" fontId="35" fillId="0" borderId="55" xfId="0" applyFont="1" applyBorder="1" applyAlignment="1">
      <alignment horizontal="center"/>
    </xf>
    <xf numFmtId="0" fontId="21" fillId="0" borderId="57" xfId="0" applyFont="1" applyBorder="1" applyAlignment="1">
      <alignment horizontal="center"/>
    </xf>
    <xf numFmtId="15" fontId="21" fillId="0" borderId="55" xfId="0" applyNumberFormat="1" applyFont="1" applyBorder="1" applyAlignment="1">
      <alignment horizontal="left"/>
    </xf>
    <xf numFmtId="15" fontId="21" fillId="0" borderId="56" xfId="0" applyNumberFormat="1" applyFont="1" applyBorder="1" applyAlignment="1">
      <alignment horizontal="left"/>
    </xf>
    <xf numFmtId="15" fontId="33" fillId="0" borderId="55" xfId="0" applyNumberFormat="1" applyFont="1" applyBorder="1" applyAlignment="1">
      <alignment horizontal="left"/>
    </xf>
    <xf numFmtId="9" fontId="21" fillId="0" borderId="57" xfId="0" applyNumberFormat="1" applyFont="1" applyBorder="1" applyAlignment="1">
      <alignment horizontal="center"/>
    </xf>
    <xf numFmtId="0" fontId="20" fillId="16" borderId="55" xfId="0" applyFont="1" applyFill="1" applyBorder="1" applyAlignment="1">
      <alignment horizontal="left"/>
    </xf>
    <xf numFmtId="0" fontId="20" fillId="16" borderId="58" xfId="0" applyFont="1" applyFill="1" applyBorder="1" applyAlignment="1">
      <alignment horizontal="left"/>
    </xf>
    <xf numFmtId="0" fontId="20" fillId="16" borderId="59" xfId="0" applyFont="1" applyFill="1" applyBorder="1" applyAlignment="1">
      <alignment horizontal="left"/>
    </xf>
    <xf numFmtId="0" fontId="20" fillId="25" borderId="58" xfId="0" applyFont="1" applyFill="1" applyBorder="1" applyAlignment="1">
      <alignment horizontal="left"/>
    </xf>
    <xf numFmtId="0" fontId="20" fillId="0" borderId="55" xfId="0" applyFont="1" applyFill="1" applyBorder="1" applyAlignment="1">
      <alignment horizontal="left"/>
    </xf>
    <xf numFmtId="0" fontId="22" fillId="0" borderId="12" xfId="0" applyFont="1" applyBorder="1" applyAlignment="1">
      <alignment horizontal="center"/>
    </xf>
    <xf numFmtId="0" fontId="22" fillId="0" borderId="60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left" indent="1"/>
    </xf>
    <xf numFmtId="0" fontId="20" fillId="25" borderId="12" xfId="0" applyFont="1" applyFill="1" applyBorder="1" applyAlignment="1">
      <alignment horizontal="left"/>
    </xf>
    <xf numFmtId="0" fontId="31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left"/>
    </xf>
    <xf numFmtId="0" fontId="19" fillId="0" borderId="60" xfId="0" applyFont="1" applyBorder="1" applyAlignment="1">
      <alignment horizontal="left"/>
    </xf>
    <xf numFmtId="15" fontId="21" fillId="0" borderId="12" xfId="0" applyNumberFormat="1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35" fillId="0" borderId="12" xfId="0" applyFont="1" applyBorder="1" applyAlignment="1">
      <alignment horizontal="center"/>
    </xf>
    <xf numFmtId="0" fontId="21" fillId="0" borderId="61" xfId="0" applyFont="1" applyBorder="1" applyAlignment="1">
      <alignment horizontal="center"/>
    </xf>
    <xf numFmtId="15" fontId="21" fillId="0" borderId="12" xfId="0" applyNumberFormat="1" applyFont="1" applyBorder="1" applyAlignment="1">
      <alignment horizontal="left"/>
    </xf>
    <xf numFmtId="15" fontId="21" fillId="0" borderId="60" xfId="0" applyNumberFormat="1" applyFont="1" applyBorder="1" applyAlignment="1">
      <alignment horizontal="left"/>
    </xf>
    <xf numFmtId="15" fontId="33" fillId="0" borderId="12" xfId="0" applyNumberFormat="1" applyFont="1" applyBorder="1" applyAlignment="1">
      <alignment horizontal="left"/>
    </xf>
    <xf numFmtId="9" fontId="21" fillId="0" borderId="61" xfId="0" applyNumberFormat="1" applyFont="1" applyBorder="1" applyAlignment="1">
      <alignment horizontal="center"/>
    </xf>
    <xf numFmtId="0" fontId="20" fillId="16" borderId="12" xfId="0" applyFont="1" applyFill="1" applyBorder="1" applyAlignment="1">
      <alignment horizontal="left"/>
    </xf>
    <xf numFmtId="0" fontId="20" fillId="16" borderId="62" xfId="0" applyFont="1" applyFill="1" applyBorder="1" applyAlignment="1">
      <alignment horizontal="left"/>
    </xf>
    <xf numFmtId="0" fontId="20" fillId="16" borderId="63" xfId="0" applyFont="1" applyFill="1" applyBorder="1" applyAlignment="1">
      <alignment horizontal="left"/>
    </xf>
    <xf numFmtId="0" fontId="20" fillId="0" borderId="12" xfId="0" applyFont="1" applyFill="1" applyBorder="1" applyAlignment="1">
      <alignment horizontal="left"/>
    </xf>
    <xf numFmtId="0" fontId="25" fillId="0" borderId="25" xfId="0" applyFont="1" applyBorder="1" applyAlignment="1">
      <alignment horizontal="center"/>
    </xf>
    <xf numFmtId="0" fontId="25" fillId="0" borderId="6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3" fillId="0" borderId="25" xfId="0" applyFont="1" applyBorder="1" applyAlignment="1">
      <alignment horizontal="left"/>
    </xf>
    <xf numFmtId="0" fontId="24" fillId="24" borderId="25" xfId="0" applyFont="1" applyFill="1" applyBorder="1" applyAlignment="1">
      <alignment horizontal="left"/>
    </xf>
    <xf numFmtId="0" fontId="26" fillId="0" borderId="25" xfId="0" applyFont="1" applyBorder="1" applyAlignment="1">
      <alignment horizontal="center"/>
    </xf>
    <xf numFmtId="0" fontId="34" fillId="0" borderId="64" xfId="0" applyFont="1" applyBorder="1" applyAlignment="1">
      <alignment horizontal="left"/>
    </xf>
    <xf numFmtId="164" fontId="27" fillId="0" borderId="25" xfId="0" applyNumberFormat="1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15" fontId="23" fillId="0" borderId="25" xfId="0" applyNumberFormat="1" applyFont="1" applyBorder="1" applyAlignment="1">
      <alignment horizontal="left"/>
    </xf>
    <xf numFmtId="15" fontId="23" fillId="0" borderId="64" xfId="0" applyNumberFormat="1" applyFont="1" applyBorder="1" applyAlignment="1">
      <alignment horizontal="left"/>
    </xf>
    <xf numFmtId="15" fontId="30" fillId="0" borderId="25" xfId="0" applyNumberFormat="1" applyFont="1" applyBorder="1" applyAlignment="1">
      <alignment horizontal="left"/>
    </xf>
    <xf numFmtId="9" fontId="27" fillId="0" borderId="65" xfId="0" applyNumberFormat="1" applyFont="1" applyBorder="1" applyAlignment="1">
      <alignment horizontal="center"/>
    </xf>
    <xf numFmtId="0" fontId="24" fillId="16" borderId="25" xfId="0" applyFont="1" applyFill="1" applyBorder="1" applyAlignment="1">
      <alignment horizontal="left"/>
    </xf>
    <xf numFmtId="0" fontId="24" fillId="16" borderId="66" xfId="0" applyFont="1" applyFill="1" applyBorder="1" applyAlignment="1">
      <alignment horizontal="left"/>
    </xf>
    <xf numFmtId="0" fontId="24" fillId="24" borderId="66" xfId="0" applyFont="1" applyFill="1" applyBorder="1" applyAlignment="1">
      <alignment horizontal="left"/>
    </xf>
    <xf numFmtId="0" fontId="24" fillId="0" borderId="25" xfId="0" applyFont="1" applyFill="1" applyBorder="1" applyAlignment="1">
      <alignment horizontal="left"/>
    </xf>
    <xf numFmtId="0" fontId="24" fillId="19" borderId="25" xfId="0" applyFont="1" applyFill="1" applyBorder="1" applyAlignment="1">
      <alignment horizontal="left"/>
    </xf>
    <xf numFmtId="0" fontId="24" fillId="19" borderId="66" xfId="0" applyFont="1" applyFill="1" applyBorder="1" applyAlignment="1">
      <alignment horizontal="left"/>
    </xf>
    <xf numFmtId="15" fontId="42" fillId="0" borderId="0" xfId="0" applyNumberFormat="1" applyFont="1" applyBorder="1" applyAlignment="1">
      <alignment horizontal="center"/>
    </xf>
    <xf numFmtId="0" fontId="42" fillId="16" borderId="0" xfId="0" applyFont="1" applyFill="1" applyBorder="1" applyAlignment="1">
      <alignment horizontal="center"/>
    </xf>
    <xf numFmtId="15" fontId="43" fillId="0" borderId="37" xfId="0" applyNumberFormat="1" applyFont="1" applyBorder="1" applyAlignment="1">
      <alignment horizontal="center"/>
    </xf>
    <xf numFmtId="0" fontId="43" fillId="16" borderId="37" xfId="0" applyFont="1" applyFill="1" applyBorder="1" applyAlignment="1">
      <alignment horizontal="center"/>
    </xf>
    <xf numFmtId="15" fontId="43" fillId="0" borderId="26" xfId="0" applyNumberFormat="1" applyFont="1" applyBorder="1" applyAlignment="1">
      <alignment horizontal="center"/>
    </xf>
    <xf numFmtId="0" fontId="43" fillId="16" borderId="26" xfId="0" applyFont="1" applyFill="1" applyBorder="1" applyAlignment="1">
      <alignment horizontal="center"/>
    </xf>
    <xf numFmtId="15" fontId="43" fillId="0" borderId="36" xfId="0" applyNumberFormat="1" applyFont="1" applyBorder="1" applyAlignment="1">
      <alignment horizontal="center"/>
    </xf>
    <xf numFmtId="0" fontId="43" fillId="16" borderId="36" xfId="0" applyFont="1" applyFill="1" applyBorder="1" applyAlignment="1">
      <alignment horizontal="center"/>
    </xf>
    <xf numFmtId="15" fontId="43" fillId="0" borderId="0" xfId="0" applyNumberFormat="1" applyFont="1" applyBorder="1" applyAlignment="1">
      <alignment horizontal="center"/>
    </xf>
    <xf numFmtId="0" fontId="43" fillId="16" borderId="0" xfId="0" applyFont="1" applyFill="1" applyBorder="1" applyAlignment="1">
      <alignment horizontal="center"/>
    </xf>
    <xf numFmtId="15" fontId="42" fillId="0" borderId="25" xfId="0" applyNumberFormat="1" applyFont="1" applyBorder="1" applyAlignment="1">
      <alignment horizontal="center"/>
    </xf>
    <xf numFmtId="0" fontId="42" fillId="16" borderId="25" xfId="0" applyFont="1" applyFill="1" applyBorder="1" applyAlignment="1">
      <alignment horizontal="center"/>
    </xf>
    <xf numFmtId="15" fontId="43" fillId="0" borderId="41" xfId="0" applyNumberFormat="1" applyFont="1" applyBorder="1" applyAlignment="1">
      <alignment horizontal="center"/>
    </xf>
    <xf numFmtId="0" fontId="43" fillId="16" borderId="41" xfId="0" applyFont="1" applyFill="1" applyBorder="1" applyAlignment="1">
      <alignment horizontal="center"/>
    </xf>
    <xf numFmtId="15" fontId="43" fillId="0" borderId="12" xfId="0" applyNumberFormat="1" applyFont="1" applyBorder="1" applyAlignment="1">
      <alignment horizontal="center"/>
    </xf>
    <xf numFmtId="0" fontId="43" fillId="16" borderId="12" xfId="0" applyFont="1" applyFill="1" applyBorder="1" applyAlignment="1">
      <alignment horizontal="center"/>
    </xf>
    <xf numFmtId="15" fontId="43" fillId="0" borderId="55" xfId="0" applyNumberFormat="1" applyFont="1" applyBorder="1" applyAlignment="1">
      <alignment horizontal="center"/>
    </xf>
    <xf numFmtId="0" fontId="43" fillId="16" borderId="55" xfId="0" applyFont="1" applyFill="1" applyBorder="1" applyAlignment="1">
      <alignment horizontal="center"/>
    </xf>
    <xf numFmtId="0" fontId="0" fillId="20" borderId="0" xfId="0" applyFill="1"/>
    <xf numFmtId="0" fontId="20" fillId="18" borderId="31" xfId="0" applyFont="1" applyFill="1" applyBorder="1" applyAlignment="1">
      <alignment horizontal="left"/>
    </xf>
    <xf numFmtId="0" fontId="20" fillId="16" borderId="46" xfId="0" applyFont="1" applyFill="1" applyBorder="1" applyAlignment="1">
      <alignment horizontal="left"/>
    </xf>
    <xf numFmtId="0" fontId="46" fillId="0" borderId="26" xfId="0" applyFont="1" applyBorder="1" applyAlignment="1">
      <alignment horizontal="center"/>
    </xf>
    <xf numFmtId="0" fontId="46" fillId="0" borderId="27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0" fontId="47" fillId="0" borderId="26" xfId="0" applyFont="1" applyBorder="1" applyAlignment="1">
      <alignment horizontal="left" indent="1"/>
    </xf>
    <xf numFmtId="0" fontId="45" fillId="22" borderId="26" xfId="0" applyFont="1" applyFill="1" applyBorder="1" applyAlignment="1">
      <alignment horizontal="left"/>
    </xf>
    <xf numFmtId="0" fontId="47" fillId="0" borderId="26" xfId="0" applyFont="1" applyBorder="1" applyAlignment="1">
      <alignment horizontal="left"/>
    </xf>
    <xf numFmtId="15" fontId="47" fillId="0" borderId="26" xfId="0" applyNumberFormat="1" applyFont="1" applyBorder="1" applyAlignment="1">
      <alignment horizontal="center"/>
    </xf>
    <xf numFmtId="0" fontId="47" fillId="16" borderId="26" xfId="0" applyFont="1" applyFill="1" applyBorder="1" applyAlignment="1">
      <alignment horizontal="center"/>
    </xf>
    <xf numFmtId="0" fontId="47" fillId="0" borderId="28" xfId="0" applyFont="1" applyBorder="1" applyAlignment="1">
      <alignment horizontal="center"/>
    </xf>
    <xf numFmtId="15" fontId="47" fillId="0" borderId="26" xfId="0" applyNumberFormat="1" applyFont="1" applyBorder="1" applyAlignment="1">
      <alignment horizontal="left"/>
    </xf>
    <xf numFmtId="9" fontId="47" fillId="0" borderId="28" xfId="0" applyNumberFormat="1" applyFont="1" applyBorder="1" applyAlignment="1">
      <alignment horizontal="center"/>
    </xf>
    <xf numFmtId="0" fontId="45" fillId="16" borderId="26" xfId="0" applyFont="1" applyFill="1" applyBorder="1" applyAlignment="1">
      <alignment horizontal="left"/>
    </xf>
    <xf numFmtId="0" fontId="45" fillId="16" borderId="32" xfId="0" applyFont="1" applyFill="1" applyBorder="1" applyAlignment="1">
      <alignment horizontal="left"/>
    </xf>
    <xf numFmtId="0" fontId="45" fillId="16" borderId="45" xfId="0" applyFont="1" applyFill="1" applyBorder="1" applyAlignment="1">
      <alignment horizontal="left"/>
    </xf>
    <xf numFmtId="0" fontId="45" fillId="0" borderId="26" xfId="0" applyFont="1" applyFill="1" applyBorder="1" applyAlignment="1">
      <alignment horizontal="left"/>
    </xf>
    <xf numFmtId="0" fontId="48" fillId="0" borderId="27" xfId="0" applyFont="1" applyBorder="1" applyAlignment="1">
      <alignment horizontal="left"/>
    </xf>
    <xf numFmtId="0" fontId="47" fillId="0" borderId="71" xfId="0" applyFont="1" applyBorder="1" applyAlignment="1">
      <alignment horizontal="left"/>
    </xf>
    <xf numFmtId="0" fontId="47" fillId="0" borderId="71" xfId="0" applyFont="1" applyBorder="1" applyAlignment="1">
      <alignment horizontal="left" indent="1"/>
    </xf>
    <xf numFmtId="0" fontId="45" fillId="25" borderId="71" xfId="0" applyFont="1" applyFill="1" applyBorder="1" applyAlignment="1">
      <alignment horizontal="left"/>
    </xf>
    <xf numFmtId="0" fontId="48" fillId="0" borderId="72" xfId="0" applyFont="1" applyBorder="1" applyAlignment="1">
      <alignment horizontal="left"/>
    </xf>
    <xf numFmtId="15" fontId="47" fillId="0" borderId="71" xfId="0" applyNumberFormat="1" applyFont="1" applyBorder="1" applyAlignment="1">
      <alignment horizontal="left"/>
    </xf>
    <xf numFmtId="15" fontId="47" fillId="0" borderId="72" xfId="0" applyNumberFormat="1" applyFont="1" applyBorder="1" applyAlignment="1">
      <alignment horizontal="left"/>
    </xf>
    <xf numFmtId="0" fontId="45" fillId="16" borderId="71" xfId="0" applyFont="1" applyFill="1" applyBorder="1" applyAlignment="1">
      <alignment horizontal="left"/>
    </xf>
    <xf numFmtId="0" fontId="45" fillId="16" borderId="74" xfId="0" applyFont="1" applyFill="1" applyBorder="1" applyAlignment="1">
      <alignment horizontal="left"/>
    </xf>
    <xf numFmtId="0" fontId="45" fillId="16" borderId="75" xfId="0" applyFont="1" applyFill="1" applyBorder="1" applyAlignment="1">
      <alignment horizontal="left"/>
    </xf>
    <xf numFmtId="0" fontId="45" fillId="0" borderId="71" xfId="0" applyFont="1" applyFill="1" applyBorder="1" applyAlignment="1">
      <alignment horizontal="left"/>
    </xf>
    <xf numFmtId="0" fontId="46" fillId="0" borderId="71" xfId="0" applyFont="1" applyBorder="1" applyAlignment="1">
      <alignment horizontal="center"/>
    </xf>
    <xf numFmtId="0" fontId="46" fillId="0" borderId="72" xfId="0" applyFont="1" applyBorder="1" applyAlignment="1">
      <alignment horizontal="center"/>
    </xf>
    <xf numFmtId="0" fontId="22" fillId="0" borderId="69" xfId="0" applyFont="1" applyBorder="1" applyAlignment="1">
      <alignment horizontal="center"/>
    </xf>
    <xf numFmtId="0" fontId="47" fillId="0" borderId="71" xfId="0" applyFont="1" applyBorder="1" applyAlignment="1">
      <alignment horizontal="center"/>
    </xf>
    <xf numFmtId="0" fontId="49" fillId="0" borderId="71" xfId="0" applyFont="1" applyBorder="1" applyAlignment="1">
      <alignment horizontal="center"/>
    </xf>
    <xf numFmtId="15" fontId="47" fillId="0" borderId="71" xfId="0" applyNumberFormat="1" applyFont="1" applyBorder="1" applyAlignment="1">
      <alignment horizontal="center"/>
    </xf>
    <xf numFmtId="0" fontId="50" fillId="0" borderId="71" xfId="0" applyFont="1" applyBorder="1" applyAlignment="1">
      <alignment horizontal="center"/>
    </xf>
    <xf numFmtId="0" fontId="21" fillId="0" borderId="68" xfId="0" applyFont="1" applyBorder="1" applyAlignment="1">
      <alignment horizontal="center"/>
    </xf>
    <xf numFmtId="0" fontId="21" fillId="0" borderId="70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15" fontId="21" fillId="0" borderId="69" xfId="0" applyNumberFormat="1" applyFont="1" applyBorder="1" applyAlignment="1">
      <alignment horizontal="left"/>
    </xf>
    <xf numFmtId="15" fontId="51" fillId="0" borderId="71" xfId="0" applyNumberFormat="1" applyFont="1" applyBorder="1" applyAlignment="1">
      <alignment horizontal="left"/>
    </xf>
    <xf numFmtId="15" fontId="33" fillId="0" borderId="68" xfId="0" applyNumberFormat="1" applyFont="1" applyBorder="1" applyAlignment="1">
      <alignment horizontal="left"/>
    </xf>
    <xf numFmtId="9" fontId="21" fillId="0" borderId="70" xfId="0" applyNumberFormat="1" applyFont="1" applyBorder="1" applyAlignment="1">
      <alignment horizontal="center"/>
    </xf>
    <xf numFmtId="9" fontId="47" fillId="0" borderId="73" xfId="0" applyNumberFormat="1" applyFont="1" applyBorder="1" applyAlignment="1">
      <alignment horizontal="center"/>
    </xf>
    <xf numFmtId="0" fontId="19" fillId="0" borderId="69" xfId="0" applyFont="1" applyBorder="1" applyAlignment="1">
      <alignment horizontal="left"/>
    </xf>
    <xf numFmtId="0" fontId="54" fillId="0" borderId="71" xfId="0" applyFont="1" applyBorder="1" applyAlignment="1">
      <alignment horizontal="center"/>
    </xf>
    <xf numFmtId="15" fontId="52" fillId="0" borderId="71" xfId="0" applyNumberFormat="1" applyFont="1" applyBorder="1" applyAlignment="1">
      <alignment horizontal="center"/>
    </xf>
    <xf numFmtId="0" fontId="52" fillId="16" borderId="71" xfId="0" applyFont="1" applyFill="1" applyBorder="1" applyAlignment="1">
      <alignment horizontal="center"/>
    </xf>
    <xf numFmtId="0" fontId="55" fillId="16" borderId="71" xfId="0" applyFont="1" applyFill="1" applyBorder="1" applyAlignment="1">
      <alignment horizontal="center"/>
    </xf>
    <xf numFmtId="0" fontId="49" fillId="0" borderId="26" xfId="0" applyFont="1" applyBorder="1" applyAlignment="1">
      <alignment horizontal="center"/>
    </xf>
    <xf numFmtId="0" fontId="52" fillId="16" borderId="26" xfId="0" applyFont="1" applyFill="1" applyBorder="1" applyAlignment="1">
      <alignment horizontal="center"/>
    </xf>
    <xf numFmtId="0" fontId="50" fillId="0" borderId="26" xfId="0" applyFont="1" applyBorder="1" applyAlignment="1">
      <alignment horizontal="center"/>
    </xf>
    <xf numFmtId="15" fontId="51" fillId="0" borderId="26" xfId="0" applyNumberFormat="1" applyFont="1" applyBorder="1" applyAlignment="1">
      <alignment horizontal="left"/>
    </xf>
    <xf numFmtId="0" fontId="47" fillId="16" borderId="71" xfId="0" applyFont="1" applyFill="1" applyBorder="1" applyAlignment="1">
      <alignment horizontal="center"/>
    </xf>
    <xf numFmtId="0" fontId="21" fillId="0" borderId="26" xfId="0" applyFont="1" applyFill="1" applyBorder="1" applyAlignment="1">
      <alignment horizontal="center"/>
    </xf>
    <xf numFmtId="0" fontId="47" fillId="0" borderId="26" xfId="0" applyFont="1" applyFill="1" applyBorder="1" applyAlignment="1">
      <alignment horizontal="center"/>
    </xf>
    <xf numFmtId="0" fontId="47" fillId="0" borderId="71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 vertical="center"/>
    </xf>
    <xf numFmtId="0" fontId="57" fillId="0" borderId="0" xfId="0" applyFont="1" applyFill="1" applyBorder="1"/>
    <xf numFmtId="0" fontId="53" fillId="16" borderId="26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 vertical="center"/>
    </xf>
    <xf numFmtId="0" fontId="44" fillId="8" borderId="41" xfId="0" applyFont="1" applyFill="1" applyBorder="1" applyAlignment="1">
      <alignment horizontal="center" vertical="center"/>
    </xf>
    <xf numFmtId="0" fontId="44" fillId="8" borderId="31" xfId="0" applyFont="1" applyFill="1" applyBorder="1" applyAlignment="1">
      <alignment horizontal="center" vertical="center"/>
    </xf>
    <xf numFmtId="0" fontId="44" fillId="8" borderId="44" xfId="0" applyFont="1" applyFill="1" applyBorder="1" applyAlignment="1">
      <alignment horizontal="center" vertical="center"/>
    </xf>
    <xf numFmtId="0" fontId="47" fillId="16" borderId="32" xfId="0" applyFont="1" applyFill="1" applyBorder="1" applyAlignment="1">
      <alignment horizontal="center"/>
    </xf>
    <xf numFmtId="0" fontId="21" fillId="16" borderId="32" xfId="0" applyFont="1" applyFill="1" applyBorder="1" applyAlignment="1">
      <alignment horizontal="center"/>
    </xf>
    <xf numFmtId="15" fontId="58" fillId="0" borderId="34" xfId="0" applyNumberFormat="1" applyFont="1" applyBorder="1" applyAlignment="1">
      <alignment horizontal="left"/>
    </xf>
    <xf numFmtId="0" fontId="59" fillId="0" borderId="0" xfId="0" applyFont="1" applyBorder="1" applyAlignment="1">
      <alignment horizontal="center"/>
    </xf>
    <xf numFmtId="0" fontId="60" fillId="0" borderId="37" xfId="0" applyFont="1" applyBorder="1" applyAlignment="1">
      <alignment horizontal="center"/>
    </xf>
    <xf numFmtId="0" fontId="60" fillId="0" borderId="26" xfId="0" applyFont="1" applyBorder="1" applyAlignment="1">
      <alignment horizontal="center"/>
    </xf>
    <xf numFmtId="0" fontId="60" fillId="0" borderId="36" xfId="0" applyFont="1" applyBorder="1" applyAlignment="1">
      <alignment horizontal="center"/>
    </xf>
    <xf numFmtId="0" fontId="60" fillId="0" borderId="0" xfId="0" applyFont="1" applyBorder="1" applyAlignment="1">
      <alignment horizontal="center"/>
    </xf>
    <xf numFmtId="0" fontId="59" fillId="0" borderId="25" xfId="0" applyFont="1" applyBorder="1" applyAlignment="1">
      <alignment horizontal="center"/>
    </xf>
    <xf numFmtId="0" fontId="60" fillId="0" borderId="41" xfId="0" applyFont="1" applyBorder="1" applyAlignment="1">
      <alignment horizontal="center"/>
    </xf>
    <xf numFmtId="0" fontId="60" fillId="0" borderId="12" xfId="0" applyFont="1" applyBorder="1" applyAlignment="1">
      <alignment horizontal="center"/>
    </xf>
    <xf numFmtId="0" fontId="60" fillId="0" borderId="55" xfId="0" applyFont="1" applyBorder="1" applyAlignment="1">
      <alignment horizontal="center"/>
    </xf>
    <xf numFmtId="0" fontId="60" fillId="0" borderId="71" xfId="0" applyFont="1" applyBorder="1" applyAlignment="1">
      <alignment horizontal="center"/>
    </xf>
    <xf numFmtId="0" fontId="20" fillId="22" borderId="32" xfId="0" applyFont="1" applyFill="1" applyBorder="1" applyAlignment="1">
      <alignment horizontal="left"/>
    </xf>
    <xf numFmtId="0" fontId="18" fillId="0" borderId="0" xfId="0" applyFont="1" applyFill="1"/>
    <xf numFmtId="0" fontId="3" fillId="10" borderId="0" xfId="0" applyFont="1" applyFill="1" applyAlignment="1">
      <alignment horizontal="center" vertical="center"/>
    </xf>
    <xf numFmtId="0" fontId="12" fillId="2" borderId="3" xfId="1" applyFont="1" applyFill="1" applyBorder="1" applyAlignment="1">
      <alignment horizontal="center" vertical="center" wrapText="1"/>
    </xf>
    <xf numFmtId="0" fontId="12" fillId="2" borderId="4" xfId="1" applyFont="1" applyFill="1" applyBorder="1" applyAlignment="1">
      <alignment horizontal="center" vertical="center" wrapText="1"/>
    </xf>
    <xf numFmtId="0" fontId="12" fillId="2" borderId="5" xfId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/>
    </xf>
    <xf numFmtId="0" fontId="13" fillId="2" borderId="3" xfId="1" applyFont="1" applyFill="1" applyBorder="1" applyAlignment="1">
      <alignment horizontal="center" vertical="center" wrapText="1"/>
    </xf>
    <xf numFmtId="0" fontId="13" fillId="2" borderId="5" xfId="1" applyFont="1" applyFill="1" applyBorder="1" applyAlignment="1">
      <alignment horizontal="center" vertical="center" wrapText="1"/>
    </xf>
    <xf numFmtId="0" fontId="3" fillId="2" borderId="78" xfId="0" applyFont="1" applyFill="1" applyBorder="1" applyAlignment="1">
      <alignment horizontal="center" vertical="center"/>
    </xf>
    <xf numFmtId="0" fontId="3" fillId="2" borderId="7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80" xfId="0" applyFont="1" applyFill="1" applyBorder="1" applyAlignment="1">
      <alignment horizontal="center" vertical="center"/>
    </xf>
    <xf numFmtId="0" fontId="3" fillId="2" borderId="81" xfId="0" applyFont="1" applyFill="1" applyBorder="1" applyAlignment="1">
      <alignment horizontal="center" vertical="center"/>
    </xf>
    <xf numFmtId="0" fontId="3" fillId="2" borderId="82" xfId="0" applyFont="1" applyFill="1" applyBorder="1" applyAlignment="1">
      <alignment horizontal="center" vertical="center"/>
    </xf>
    <xf numFmtId="0" fontId="15" fillId="2" borderId="77" xfId="0" applyFont="1" applyFill="1" applyBorder="1" applyAlignment="1">
      <alignment horizontal="center" vertical="center"/>
    </xf>
    <xf numFmtId="0" fontId="15" fillId="2" borderId="78" xfId="0" applyFont="1" applyFill="1" applyBorder="1" applyAlignment="1">
      <alignment horizontal="center" vertical="center"/>
    </xf>
    <xf numFmtId="0" fontId="15" fillId="2" borderId="76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81" xfId="0" applyFont="1" applyFill="1" applyBorder="1" applyAlignment="1">
      <alignment horizontal="center" vertical="center"/>
    </xf>
    <xf numFmtId="15" fontId="22" fillId="21" borderId="33" xfId="0" applyNumberFormat="1" applyFont="1" applyFill="1" applyBorder="1" applyAlignment="1">
      <alignment horizontal="center" vertical="top" textRotation="90"/>
    </xf>
    <xf numFmtId="15" fontId="9" fillId="21" borderId="31" xfId="0" applyNumberFormat="1" applyFont="1" applyFill="1" applyBorder="1" applyAlignment="1">
      <alignment horizontal="center" vertical="top" textRotation="90"/>
    </xf>
    <xf numFmtId="15" fontId="9" fillId="21" borderId="33" xfId="0" applyNumberFormat="1" applyFont="1" applyFill="1" applyBorder="1" applyAlignment="1">
      <alignment horizontal="center" vertical="top" textRotation="90"/>
    </xf>
    <xf numFmtId="15" fontId="22" fillId="21" borderId="0" xfId="0" applyNumberFormat="1" applyFont="1" applyFill="1" applyBorder="1" applyAlignment="1">
      <alignment horizontal="center" vertical="top" textRotation="90"/>
    </xf>
    <xf numFmtId="15" fontId="9" fillId="21" borderId="0" xfId="0" applyNumberFormat="1" applyFont="1" applyFill="1" applyBorder="1" applyAlignment="1">
      <alignment horizontal="center" vertical="top" textRotation="90"/>
    </xf>
    <xf numFmtId="0" fontId="56" fillId="8" borderId="0" xfId="0" applyFont="1" applyFill="1" applyAlignment="1">
      <alignment horizontal="center"/>
    </xf>
    <xf numFmtId="15" fontId="22" fillId="21" borderId="31" xfId="0" applyNumberFormat="1" applyFont="1" applyFill="1" applyBorder="1" applyAlignment="1">
      <alignment horizontal="center" vertical="top" textRotation="90"/>
    </xf>
    <xf numFmtId="0" fontId="8" fillId="7" borderId="2" xfId="0" applyFont="1" applyFill="1" applyBorder="1" applyAlignment="1">
      <alignment horizontal="center" vertical="center"/>
    </xf>
    <xf numFmtId="15" fontId="9" fillId="9" borderId="0" xfId="0" applyNumberFormat="1" applyFont="1" applyFill="1" applyBorder="1" applyAlignment="1">
      <alignment horizontal="center" vertical="top" textRotation="90"/>
    </xf>
    <xf numFmtId="0" fontId="9" fillId="9" borderId="0" xfId="0" applyFont="1" applyFill="1" applyBorder="1" applyAlignment="1">
      <alignment horizontal="center" vertical="top" textRotation="90"/>
    </xf>
    <xf numFmtId="0" fontId="13" fillId="2" borderId="4" xfId="1" applyFont="1" applyFill="1" applyBorder="1" applyAlignment="1">
      <alignment horizontal="center" vertical="center" wrapText="1"/>
    </xf>
    <xf numFmtId="15" fontId="22" fillId="9" borderId="0" xfId="0" applyNumberFormat="1" applyFont="1" applyFill="1" applyBorder="1" applyAlignment="1">
      <alignment horizontal="center" vertical="top" textRotation="90"/>
    </xf>
    <xf numFmtId="15" fontId="40" fillId="8" borderId="44" xfId="0" applyNumberFormat="1" applyFont="1" applyFill="1" applyBorder="1" applyAlignment="1">
      <alignment horizontal="center" vertical="top" textRotation="90"/>
    </xf>
    <xf numFmtId="0" fontId="4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5" fontId="14" fillId="2" borderId="76" xfId="0" applyNumberFormat="1" applyFont="1" applyFill="1" applyBorder="1" applyAlignment="1">
      <alignment horizontal="center" vertical="center"/>
    </xf>
    <xf numFmtId="15" fontId="14" fillId="2" borderId="0" xfId="0" applyNumberFormat="1" applyFont="1" applyFill="1" applyBorder="1" applyAlignment="1">
      <alignment horizontal="center" vertical="center"/>
    </xf>
    <xf numFmtId="15" fontId="14" fillId="2" borderId="80" xfId="0" applyNumberFormat="1" applyFont="1" applyFill="1" applyBorder="1" applyAlignment="1">
      <alignment horizontal="center" vertical="center"/>
    </xf>
    <xf numFmtId="0" fontId="14" fillId="2" borderId="0" xfId="0" quotePrefix="1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15" fontId="2" fillId="14" borderId="11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left"/>
    </xf>
    <xf numFmtId="0" fontId="24" fillId="8" borderId="31" xfId="0" applyFont="1" applyFill="1" applyBorder="1" applyAlignment="1">
      <alignment horizontal="left"/>
    </xf>
    <xf numFmtId="0" fontId="24" fillId="8" borderId="44" xfId="0" applyFont="1" applyFill="1" applyBorder="1" applyAlignment="1">
      <alignment horizontal="left"/>
    </xf>
    <xf numFmtId="0" fontId="20" fillId="8" borderId="37" xfId="0" applyFont="1" applyFill="1" applyBorder="1" applyAlignment="1">
      <alignment horizontal="left"/>
    </xf>
    <xf numFmtId="0" fontId="20" fillId="8" borderId="26" xfId="0" applyFont="1" applyFill="1" applyBorder="1" applyAlignment="1">
      <alignment horizontal="left"/>
    </xf>
    <xf numFmtId="0" fontId="20" fillId="8" borderId="36" xfId="0" applyFont="1" applyFill="1" applyBorder="1" applyAlignment="1">
      <alignment horizontal="left"/>
    </xf>
    <xf numFmtId="0" fontId="20" fillId="8" borderId="0" xfId="0" applyFont="1" applyFill="1" applyBorder="1" applyAlignment="1">
      <alignment horizontal="left"/>
    </xf>
    <xf numFmtId="0" fontId="24" fillId="8" borderId="25" xfId="0" applyFont="1" applyFill="1" applyBorder="1" applyAlignment="1">
      <alignment horizontal="left"/>
    </xf>
    <xf numFmtId="0" fontId="24" fillId="8" borderId="66" xfId="0" applyFont="1" applyFill="1" applyBorder="1" applyAlignment="1">
      <alignment horizontal="left"/>
    </xf>
    <xf numFmtId="0" fontId="24" fillId="8" borderId="67" xfId="0" applyFont="1" applyFill="1" applyBorder="1" applyAlignment="1">
      <alignment horizontal="left"/>
    </xf>
    <xf numFmtId="0" fontId="20" fillId="8" borderId="41" xfId="0" applyFont="1" applyFill="1" applyBorder="1" applyAlignment="1">
      <alignment horizontal="left"/>
    </xf>
    <xf numFmtId="0" fontId="20" fillId="8" borderId="12" xfId="0" applyFont="1" applyFill="1" applyBorder="1" applyAlignment="1">
      <alignment horizontal="left"/>
    </xf>
    <xf numFmtId="0" fontId="20" fillId="8" borderId="55" xfId="0" applyFont="1" applyFill="1" applyBorder="1" applyAlignment="1">
      <alignment horizontal="left"/>
    </xf>
    <xf numFmtId="0" fontId="25" fillId="0" borderId="83" xfId="0" applyFont="1" applyBorder="1" applyAlignment="1">
      <alignment horizontal="center"/>
    </xf>
    <xf numFmtId="0" fontId="22" fillId="0" borderId="84" xfId="0" applyFont="1" applyBorder="1" applyAlignment="1">
      <alignment horizontal="center"/>
    </xf>
    <xf numFmtId="0" fontId="41" fillId="0" borderId="84" xfId="0" applyFont="1" applyBorder="1" applyAlignment="1">
      <alignment horizontal="center"/>
    </xf>
    <xf numFmtId="0" fontId="46" fillId="0" borderId="39" xfId="0" applyFont="1" applyBorder="1" applyAlignment="1">
      <alignment horizontal="center"/>
    </xf>
    <xf numFmtId="0" fontId="41" fillId="0" borderId="85" xfId="0" applyFont="1" applyBorder="1" applyAlignment="1">
      <alignment horizontal="center"/>
    </xf>
    <xf numFmtId="0" fontId="46" fillId="0" borderId="86" xfId="0" applyFont="1" applyBorder="1" applyAlignment="1">
      <alignment horizontal="center"/>
    </xf>
    <xf numFmtId="0" fontId="2" fillId="0" borderId="29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24" fillId="0" borderId="29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45" fillId="0" borderId="29" xfId="0" applyFont="1" applyBorder="1" applyAlignment="1">
      <alignment horizontal="left"/>
    </xf>
    <xf numFmtId="0" fontId="44" fillId="8" borderId="33" xfId="0" applyFont="1" applyFill="1" applyBorder="1" applyAlignment="1">
      <alignment horizontal="center" vertical="center"/>
    </xf>
    <xf numFmtId="0" fontId="0" fillId="0" borderId="33" xfId="0" applyBorder="1"/>
    <xf numFmtId="0" fontId="20" fillId="16" borderId="88" xfId="0" applyFont="1" applyFill="1" applyBorder="1" applyAlignment="1">
      <alignment horizontal="left"/>
    </xf>
    <xf numFmtId="0" fontId="20" fillId="16" borderId="89" xfId="0" applyFont="1" applyFill="1" applyBorder="1" applyAlignment="1">
      <alignment horizontal="left"/>
    </xf>
    <xf numFmtId="0" fontId="20" fillId="16" borderId="90" xfId="0" applyFont="1" applyFill="1" applyBorder="1" applyAlignment="1">
      <alignment horizontal="left"/>
    </xf>
    <xf numFmtId="0" fontId="20" fillId="16" borderId="33" xfId="0" applyFont="1" applyFill="1" applyBorder="1" applyAlignment="1">
      <alignment horizontal="left"/>
    </xf>
    <xf numFmtId="0" fontId="24" fillId="8" borderId="91" xfId="0" applyFont="1" applyFill="1" applyBorder="1" applyAlignment="1">
      <alignment horizontal="left"/>
    </xf>
    <xf numFmtId="0" fontId="20" fillId="16" borderId="87" xfId="0" applyFont="1" applyFill="1" applyBorder="1" applyAlignment="1">
      <alignment horizontal="left"/>
    </xf>
    <xf numFmtId="0" fontId="45" fillId="16" borderId="89" xfId="0" applyFont="1" applyFill="1" applyBorder="1" applyAlignment="1">
      <alignment horizontal="left"/>
    </xf>
    <xf numFmtId="0" fontId="20" fillId="16" borderId="92" xfId="0" applyFont="1" applyFill="1" applyBorder="1" applyAlignment="1">
      <alignment horizontal="left"/>
    </xf>
    <xf numFmtId="0" fontId="20" fillId="16" borderId="93" xfId="0" applyFont="1" applyFill="1" applyBorder="1" applyAlignment="1">
      <alignment horizontal="left"/>
    </xf>
    <xf numFmtId="0" fontId="45" fillId="16" borderId="94" xfId="0" applyFont="1" applyFill="1" applyBorder="1" applyAlignment="1">
      <alignment horizontal="left"/>
    </xf>
    <xf numFmtId="0" fontId="24" fillId="17" borderId="33" xfId="0" applyFont="1" applyFill="1" applyBorder="1" applyAlignment="1">
      <alignment horizontal="left"/>
    </xf>
    <xf numFmtId="0" fontId="24" fillId="24" borderId="91" xfId="0" applyFont="1" applyFill="1" applyBorder="1" applyAlignment="1">
      <alignment horizontal="left"/>
    </xf>
    <xf numFmtId="0" fontId="21" fillId="16" borderId="89" xfId="0" applyFont="1" applyFill="1" applyBorder="1" applyAlignment="1">
      <alignment horizontal="left"/>
    </xf>
    <xf numFmtId="0" fontId="4" fillId="0" borderId="95" xfId="0" applyFont="1" applyBorder="1" applyAlignment="1">
      <alignment horizontal="center" vertical="center"/>
    </xf>
    <xf numFmtId="0" fontId="1" fillId="0" borderId="6" xfId="0" applyFont="1" applyBorder="1"/>
    <xf numFmtId="0" fontId="1" fillId="15" borderId="6" xfId="0" applyFont="1" applyFill="1" applyBorder="1"/>
    <xf numFmtId="15" fontId="47" fillId="0" borderId="96" xfId="0" applyNumberFormat="1" applyFont="1" applyBorder="1" applyAlignment="1">
      <alignment horizontal="left"/>
    </xf>
    <xf numFmtId="0" fontId="61" fillId="26" borderId="76" xfId="0" applyFont="1" applyFill="1" applyBorder="1" applyAlignment="1">
      <alignment horizontal="center" vertical="center"/>
    </xf>
    <xf numFmtId="0" fontId="61" fillId="26" borderId="0" xfId="0" applyFont="1" applyFill="1" applyBorder="1" applyAlignment="1">
      <alignment horizontal="center" vertical="center"/>
    </xf>
    <xf numFmtId="0" fontId="61" fillId="26" borderId="8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theme="0"/>
      </font>
      <fill>
        <patternFill>
          <bgColor rgb="FF5EC9F4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BFBFBF"/>
      <color rgb="FFDCEAF4"/>
      <color rgb="FF5EC9F4"/>
      <color rgb="FF7FD3F5"/>
      <color rgb="FFEB8D9F"/>
      <color rgb="FF89E394"/>
      <color rgb="FFFFFFC1"/>
      <color rgb="FFCCCC00"/>
      <color rgb="FFC0E6F5"/>
      <color rgb="FFD6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1227667</xdr:colOff>
      <xdr:row>4</xdr:row>
      <xdr:rowOff>162278</xdr:rowOff>
    </xdr:from>
    <xdr:to>
      <xdr:col>27</xdr:col>
      <xdr:colOff>454047</xdr:colOff>
      <xdr:row>6</xdr:row>
      <xdr:rowOff>137377</xdr:rowOff>
    </xdr:to>
    <xdr:pic macro="[0]!clear_data">
      <xdr:nvPicPr>
        <xdr:cNvPr id="3" name="Graphic 2" descr="Mop and bucke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741445" y="931334"/>
          <a:ext cx="468158" cy="419599"/>
        </a:xfrm>
        <a:prstGeom prst="rect">
          <a:avLst/>
        </a:prstGeom>
      </xdr:spPr>
    </xdr:pic>
    <xdr:clientData/>
  </xdr:twoCellAnchor>
  <xdr:twoCellAnchor editAs="oneCell">
    <xdr:from>
      <xdr:col>27</xdr:col>
      <xdr:colOff>804333</xdr:colOff>
      <xdr:row>4</xdr:row>
      <xdr:rowOff>239889</xdr:rowOff>
    </xdr:from>
    <xdr:to>
      <xdr:col>28</xdr:col>
      <xdr:colOff>78025</xdr:colOff>
      <xdr:row>7</xdr:row>
      <xdr:rowOff>99192</xdr:rowOff>
    </xdr:to>
    <xdr:pic macro="[0]!Filtering">
      <xdr:nvPicPr>
        <xdr:cNvPr id="4" name="Graphic 3" descr="Filter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559889" y="1008945"/>
          <a:ext cx="515470" cy="4943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50800</xdr:colOff>
          <xdr:row>7</xdr:row>
          <xdr:rowOff>0</xdr:rowOff>
        </xdr:from>
        <xdr:to>
          <xdr:col>29</xdr:col>
          <xdr:colOff>76200</xdr:colOff>
          <xdr:row>7</xdr:row>
          <xdr:rowOff>222250</xdr:rowOff>
        </xdr:to>
        <xdr:sp macro="" textlink="">
          <xdr:nvSpPr>
            <xdr:cNvPr id="1036" name="ScrollBar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7</xdr:row>
      <xdr:rowOff>50800</xdr:rowOff>
    </xdr:to>
    <xdr:sp macro="" textlink="">
      <xdr:nvSpPr>
        <xdr:cNvPr id="1041" name="AutoShape 17" descr="Anthem Biosciences Logo">
          <a:extLst>
            <a:ext uri="{FF2B5EF4-FFF2-40B4-BE49-F238E27FC236}">
              <a16:creationId xmlns:a16="http://schemas.microsoft.com/office/drawing/2014/main" id="{00000000-0008-0000-01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660400" y="133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9072</xdr:colOff>
      <xdr:row>0</xdr:row>
      <xdr:rowOff>165403</xdr:rowOff>
    </xdr:from>
    <xdr:to>
      <xdr:col>22</xdr:col>
      <xdr:colOff>298881</xdr:colOff>
      <xdr:row>2</xdr:row>
      <xdr:rowOff>90713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130143" y="165403"/>
          <a:ext cx="1323952" cy="406096"/>
        </a:xfrm>
        <a:prstGeom prst="rect">
          <a:avLst/>
        </a:prstGeom>
      </xdr:spPr>
    </xdr:pic>
    <xdr:clientData/>
  </xdr:twoCellAnchor>
  <xdr:twoCellAnchor editAs="oneCell">
    <xdr:from>
      <xdr:col>0</xdr:col>
      <xdr:colOff>99787</xdr:colOff>
      <xdr:row>0</xdr:row>
      <xdr:rowOff>117929</xdr:rowOff>
    </xdr:from>
    <xdr:to>
      <xdr:col>5</xdr:col>
      <xdr:colOff>788075</xdr:colOff>
      <xdr:row>2</xdr:row>
      <xdr:rowOff>43943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86" r="2486"/>
        <a:stretch/>
      </xdr:blipFill>
      <xdr:spPr bwMode="auto">
        <a:xfrm>
          <a:off x="99787" y="117929"/>
          <a:ext cx="1341431" cy="40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ECE4-CEC2-4356-8F76-6E0A1DDE389E}">
  <sheetPr codeName="Sheet1">
    <tabColor theme="8"/>
  </sheetPr>
  <dimension ref="A1:BH36"/>
  <sheetViews>
    <sheetView showGridLines="0" topLeftCell="B1" zoomScale="68" zoomScaleNormal="68" workbookViewId="0">
      <selection activeCell="H26" sqref="H26"/>
    </sheetView>
  </sheetViews>
  <sheetFormatPr defaultColWidth="10.88671875" defaultRowHeight="20"/>
  <cols>
    <col min="1" max="1" width="5.1640625" customWidth="1"/>
    <col min="2" max="2" width="2.5546875" customWidth="1"/>
    <col min="3" max="3" width="11.83203125" bestFit="1" customWidth="1"/>
    <col min="4" max="4" width="17.609375" bestFit="1" customWidth="1"/>
    <col min="5" max="5" width="2.5546875" customWidth="1"/>
    <col min="6" max="6" width="5.1640625" customWidth="1"/>
    <col min="7" max="7" width="1.5" customWidth="1"/>
    <col min="8" max="8" width="12.5546875" bestFit="1" customWidth="1"/>
    <col min="9" max="9" width="10.5" customWidth="1"/>
    <col min="10" max="10" width="3.38671875" customWidth="1"/>
    <col min="11" max="11" width="1.5546875" customWidth="1"/>
    <col min="12" max="12" width="5.1640625" customWidth="1"/>
    <col min="13" max="13" width="1.0546875" customWidth="1"/>
    <col min="14" max="14" width="11.6640625" bestFit="1" customWidth="1"/>
    <col min="15" max="15" width="13.109375" bestFit="1" customWidth="1"/>
    <col min="16" max="16" width="5.1640625" customWidth="1"/>
    <col min="17" max="17" width="1.5546875" customWidth="1"/>
    <col min="18" max="19" width="5.1640625" customWidth="1"/>
    <col min="20" max="20" width="7.21875" customWidth="1"/>
    <col min="21" max="21" width="5.1640625" customWidth="1"/>
    <col min="22" max="22" width="2.94140625" customWidth="1"/>
    <col min="23" max="25" width="5.1640625" customWidth="1"/>
  </cols>
  <sheetData>
    <row r="1" spans="1:60" s="3" customFormat="1" ht="12.5"/>
    <row r="2" spans="1:60" s="3" customFormat="1">
      <c r="A2" s="4"/>
      <c r="B2" s="357" t="s">
        <v>24</v>
      </c>
      <c r="C2" s="357"/>
      <c r="D2" s="357"/>
      <c r="X2" s="358" t="s">
        <v>25</v>
      </c>
      <c r="Y2" s="359"/>
      <c r="BC2" s="354" t="s">
        <v>24</v>
      </c>
      <c r="BD2" s="355"/>
      <c r="BE2" s="355"/>
      <c r="BF2" s="355"/>
      <c r="BG2" s="355"/>
      <c r="BH2" s="356"/>
    </row>
    <row r="3" spans="1:60" s="3" customFormat="1" ht="7.9" customHeight="1"/>
    <row r="6" spans="1:60" ht="15.4" customHeight="1">
      <c r="B6" s="353" t="s">
        <v>26</v>
      </c>
      <c r="C6" s="353"/>
      <c r="D6" s="353"/>
      <c r="E6" s="353"/>
      <c r="G6" s="353" t="s">
        <v>31</v>
      </c>
      <c r="H6" s="353"/>
      <c r="I6" s="353"/>
      <c r="J6" s="353"/>
      <c r="K6" s="353"/>
      <c r="M6" s="353" t="s">
        <v>36</v>
      </c>
      <c r="N6" s="353"/>
      <c r="O6" s="353"/>
      <c r="P6" s="353"/>
      <c r="Q6" s="353"/>
      <c r="S6" s="353" t="s">
        <v>56</v>
      </c>
      <c r="T6" s="353"/>
      <c r="U6" s="353"/>
    </row>
    <row r="7" spans="1:60" ht="15.4" customHeight="1">
      <c r="B7" s="11"/>
      <c r="E7" s="12"/>
      <c r="G7" s="22"/>
      <c r="H7" s="23"/>
      <c r="I7" s="23"/>
      <c r="J7" s="23"/>
      <c r="K7" s="24"/>
      <c r="M7" s="22"/>
      <c r="N7" s="23"/>
      <c r="O7" s="23"/>
      <c r="P7" s="23"/>
      <c r="Q7" s="24"/>
      <c r="S7" s="22"/>
      <c r="T7" s="23"/>
      <c r="U7" s="24"/>
    </row>
    <row r="8" spans="1:60" ht="15.4" customHeight="1">
      <c r="B8" s="11"/>
      <c r="C8" s="17" t="s">
        <v>27</v>
      </c>
      <c r="D8" s="18" t="s">
        <v>93</v>
      </c>
      <c r="E8" s="12"/>
      <c r="G8" s="11"/>
      <c r="H8" s="25" t="s">
        <v>14</v>
      </c>
      <c r="I8" s="25" t="s">
        <v>32</v>
      </c>
      <c r="J8" s="25" t="s">
        <v>33</v>
      </c>
      <c r="K8" s="12"/>
      <c r="M8" s="11"/>
      <c r="N8" s="25" t="s">
        <v>37</v>
      </c>
      <c r="O8" s="25" t="s">
        <v>14</v>
      </c>
      <c r="P8" s="25" t="s">
        <v>32</v>
      </c>
      <c r="Q8" s="12"/>
      <c r="S8" s="11"/>
      <c r="T8" s="25" t="s">
        <v>47</v>
      </c>
      <c r="U8" s="12"/>
    </row>
    <row r="9" spans="1:60" ht="15.4" customHeight="1">
      <c r="B9" s="11"/>
      <c r="C9" s="16"/>
      <c r="E9" s="12"/>
      <c r="G9" s="11"/>
      <c r="H9" s="26" t="s">
        <v>34</v>
      </c>
      <c r="I9" s="27" t="s">
        <v>35</v>
      </c>
      <c r="J9" s="28">
        <f>IF(H9="","",COUNTIF($O$9:$O$1048576,H9))</f>
        <v>1</v>
      </c>
      <c r="K9" s="12"/>
      <c r="M9" s="11"/>
      <c r="N9" s="26" t="s">
        <v>87</v>
      </c>
      <c r="O9" s="27" t="s">
        <v>34</v>
      </c>
      <c r="P9" s="28" t="str">
        <f>_xlfn.IFNA(INDEX($I$9:$I$16,MATCH(O9,$H$9:$H$16,0)),"")</f>
        <v>DES</v>
      </c>
      <c r="Q9" s="12"/>
      <c r="S9" s="11"/>
      <c r="T9" s="37">
        <v>46023</v>
      </c>
      <c r="U9" s="12"/>
    </row>
    <row r="10" spans="1:60" ht="15.4" customHeight="1">
      <c r="B10" s="11"/>
      <c r="C10" s="17" t="s">
        <v>107</v>
      </c>
      <c r="D10" s="18" t="s">
        <v>88</v>
      </c>
      <c r="E10" s="12"/>
      <c r="G10" s="11"/>
      <c r="H10" s="29" t="s">
        <v>79</v>
      </c>
      <c r="I10" s="30" t="s">
        <v>83</v>
      </c>
      <c r="J10" s="31">
        <f t="shared" ref="J10:J16" si="0">IF(H10="","",COUNTIF($O$9:$O$1048576,H10))</f>
        <v>2</v>
      </c>
      <c r="K10" s="12"/>
      <c r="M10" s="11"/>
      <c r="N10" s="29" t="s">
        <v>88</v>
      </c>
      <c r="O10" s="30" t="s">
        <v>79</v>
      </c>
      <c r="P10" s="31" t="str">
        <f t="shared" ref="P10:P35" si="1">_xlfn.IFNA(INDEX($I$9:$I$16,MATCH(O10,$H$9:$H$16,0)),"")</f>
        <v>PRO</v>
      </c>
      <c r="Q10" s="12"/>
      <c r="S10" s="11"/>
      <c r="T10" s="37"/>
      <c r="U10" s="12"/>
      <c r="AB10" s="5"/>
      <c r="AC10" s="1" t="s">
        <v>1</v>
      </c>
    </row>
    <row r="11" spans="1:60" ht="15.4" customHeight="1">
      <c r="B11" s="11"/>
      <c r="C11" s="16"/>
      <c r="E11" s="12"/>
      <c r="G11" s="11"/>
      <c r="H11" s="29" t="s">
        <v>80</v>
      </c>
      <c r="I11" s="30" t="s">
        <v>84</v>
      </c>
      <c r="J11" s="31">
        <f t="shared" si="0"/>
        <v>1</v>
      </c>
      <c r="K11" s="12"/>
      <c r="M11" s="11"/>
      <c r="N11" s="29" t="s">
        <v>89</v>
      </c>
      <c r="O11" s="30" t="s">
        <v>79</v>
      </c>
      <c r="P11" s="31" t="str">
        <f t="shared" si="1"/>
        <v>PRO</v>
      </c>
      <c r="Q11" s="12"/>
      <c r="S11" s="11"/>
      <c r="T11" s="37"/>
      <c r="U11" s="12"/>
      <c r="AB11" s="7"/>
      <c r="AC11" s="39" t="s">
        <v>2</v>
      </c>
    </row>
    <row r="12" spans="1:60" ht="15.4" customHeight="1">
      <c r="B12" s="11"/>
      <c r="C12" s="17" t="s">
        <v>28</v>
      </c>
      <c r="D12" s="18" t="s">
        <v>94</v>
      </c>
      <c r="E12" s="12"/>
      <c r="G12" s="11"/>
      <c r="H12" s="29" t="s">
        <v>81</v>
      </c>
      <c r="I12" s="30" t="s">
        <v>85</v>
      </c>
      <c r="J12" s="31">
        <f t="shared" si="0"/>
        <v>1</v>
      </c>
      <c r="K12" s="12"/>
      <c r="M12" s="11"/>
      <c r="N12" s="29" t="s">
        <v>90</v>
      </c>
      <c r="O12" s="30" t="s">
        <v>81</v>
      </c>
      <c r="P12" s="31" t="str">
        <f t="shared" si="1"/>
        <v>SIM</v>
      </c>
      <c r="Q12" s="12"/>
      <c r="S12" s="11"/>
      <c r="T12" s="37"/>
      <c r="U12" s="12"/>
      <c r="AB12" s="10"/>
      <c r="AC12" s="39" t="s">
        <v>3</v>
      </c>
    </row>
    <row r="13" spans="1:60" ht="15.4" customHeight="1">
      <c r="B13" s="13"/>
      <c r="C13" s="14"/>
      <c r="D13" s="14"/>
      <c r="E13" s="15"/>
      <c r="G13" s="11"/>
      <c r="H13" s="29" t="s">
        <v>82</v>
      </c>
      <c r="I13" s="30" t="s">
        <v>86</v>
      </c>
      <c r="J13" s="31">
        <f t="shared" si="0"/>
        <v>1</v>
      </c>
      <c r="K13" s="12"/>
      <c r="M13" s="11"/>
      <c r="N13" s="29" t="s">
        <v>91</v>
      </c>
      <c r="O13" s="30" t="s">
        <v>82</v>
      </c>
      <c r="P13" s="31" t="str">
        <f t="shared" si="1"/>
        <v>A&amp;P</v>
      </c>
      <c r="Q13" s="12"/>
      <c r="S13" s="11"/>
      <c r="T13" s="37"/>
      <c r="U13" s="12"/>
      <c r="AB13" s="39"/>
      <c r="AC13" s="39"/>
    </row>
    <row r="14" spans="1:60" ht="15.4" customHeight="1">
      <c r="G14" s="11"/>
      <c r="H14" s="29"/>
      <c r="I14" s="30"/>
      <c r="J14" s="31" t="str">
        <f t="shared" si="0"/>
        <v/>
      </c>
      <c r="K14" s="12"/>
      <c r="M14" s="11"/>
      <c r="N14" s="29" t="s">
        <v>92</v>
      </c>
      <c r="O14" s="30" t="s">
        <v>80</v>
      </c>
      <c r="P14" s="31" t="str">
        <f t="shared" si="1"/>
        <v>SER</v>
      </c>
      <c r="Q14" s="12"/>
      <c r="S14" s="11"/>
      <c r="T14" s="37"/>
      <c r="U14" s="12"/>
    </row>
    <row r="15" spans="1:60" ht="15.4" customHeight="1">
      <c r="G15" s="11"/>
      <c r="H15" s="29"/>
      <c r="I15" s="30"/>
      <c r="J15" s="31" t="str">
        <f t="shared" si="0"/>
        <v/>
      </c>
      <c r="K15" s="12"/>
      <c r="M15" s="92"/>
      <c r="N15" s="29"/>
      <c r="O15" s="30"/>
      <c r="P15" s="31" t="str">
        <f t="shared" si="1"/>
        <v/>
      </c>
      <c r="Q15" s="12"/>
      <c r="S15" s="11"/>
      <c r="T15" s="37"/>
      <c r="U15" s="12"/>
    </row>
    <row r="16" spans="1:60" ht="15.4" customHeight="1">
      <c r="B16" s="353" t="s">
        <v>58</v>
      </c>
      <c r="C16" s="353"/>
      <c r="D16" s="353"/>
      <c r="E16" s="353"/>
      <c r="G16" s="11"/>
      <c r="H16" s="32"/>
      <c r="I16" s="33"/>
      <c r="J16" s="34" t="str">
        <f t="shared" si="0"/>
        <v/>
      </c>
      <c r="K16" s="12"/>
      <c r="M16" s="92"/>
      <c r="N16" s="29"/>
      <c r="O16" s="30"/>
      <c r="P16" s="31" t="str">
        <f t="shared" si="1"/>
        <v/>
      </c>
      <c r="Q16" s="12"/>
      <c r="S16" s="11"/>
      <c r="T16" s="37"/>
      <c r="U16" s="12"/>
    </row>
    <row r="17" spans="2:21" ht="15.4" customHeight="1">
      <c r="B17" s="11"/>
      <c r="E17" s="12"/>
      <c r="G17" s="13"/>
      <c r="H17" s="14"/>
      <c r="I17" s="14"/>
      <c r="J17" s="14"/>
      <c r="K17" s="15"/>
      <c r="M17" s="92"/>
      <c r="N17" s="29"/>
      <c r="O17" s="30"/>
      <c r="P17" s="31" t="str">
        <f t="shared" si="1"/>
        <v/>
      </c>
      <c r="Q17" s="12"/>
      <c r="S17" s="11"/>
      <c r="T17" s="37"/>
      <c r="U17" s="12"/>
    </row>
    <row r="18" spans="2:21" ht="15.4" customHeight="1">
      <c r="B18" s="11"/>
      <c r="C18" s="25" t="s">
        <v>59</v>
      </c>
      <c r="D18" s="84" t="s">
        <v>66</v>
      </c>
      <c r="E18" s="86">
        <f>IF(D18="Off",1,0)</f>
        <v>0</v>
      </c>
      <c r="M18" s="92"/>
      <c r="N18" s="29"/>
      <c r="O18" s="30"/>
      <c r="P18" s="31" t="str">
        <f t="shared" si="1"/>
        <v/>
      </c>
      <c r="Q18" s="12"/>
      <c r="S18" s="11"/>
      <c r="T18" s="37"/>
      <c r="U18" s="12"/>
    </row>
    <row r="19" spans="2:21" ht="15.4" customHeight="1">
      <c r="B19" s="11"/>
      <c r="C19" s="25" t="s">
        <v>60</v>
      </c>
      <c r="D19" s="84" t="s">
        <v>66</v>
      </c>
      <c r="E19" s="86">
        <f t="shared" ref="E19:E24" si="2">IF(D19="Off",1,0)</f>
        <v>0</v>
      </c>
      <c r="M19" s="92"/>
      <c r="N19" s="29"/>
      <c r="O19" s="30"/>
      <c r="P19" s="31" t="str">
        <f t="shared" si="1"/>
        <v/>
      </c>
      <c r="Q19" s="12"/>
      <c r="S19" s="11"/>
      <c r="T19" s="37"/>
      <c r="U19" s="12"/>
    </row>
    <row r="20" spans="2:21" ht="15.4" customHeight="1">
      <c r="B20" s="11"/>
      <c r="C20" s="25" t="s">
        <v>61</v>
      </c>
      <c r="D20" s="84" t="s">
        <v>66</v>
      </c>
      <c r="E20" s="86">
        <f t="shared" si="2"/>
        <v>0</v>
      </c>
      <c r="M20" s="92"/>
      <c r="N20" s="29"/>
      <c r="O20" s="30"/>
      <c r="P20" s="31" t="str">
        <f t="shared" si="1"/>
        <v/>
      </c>
      <c r="Q20" s="12"/>
      <c r="S20" s="11"/>
      <c r="T20" s="37"/>
      <c r="U20" s="12"/>
    </row>
    <row r="21" spans="2:21" ht="15.4" customHeight="1">
      <c r="B21" s="11"/>
      <c r="C21" s="25" t="s">
        <v>62</v>
      </c>
      <c r="D21" s="84" t="s">
        <v>66</v>
      </c>
      <c r="E21" s="86">
        <f t="shared" si="2"/>
        <v>0</v>
      </c>
      <c r="M21" s="92"/>
      <c r="N21" s="29"/>
      <c r="O21" s="30"/>
      <c r="P21" s="31" t="str">
        <f t="shared" si="1"/>
        <v/>
      </c>
      <c r="Q21" s="12"/>
      <c r="S21" s="11"/>
      <c r="T21" s="37"/>
      <c r="U21" s="12"/>
    </row>
    <row r="22" spans="2:21" ht="15.4" customHeight="1">
      <c r="B22" s="11"/>
      <c r="C22" s="25" t="s">
        <v>63</v>
      </c>
      <c r="D22" s="84" t="s">
        <v>66</v>
      </c>
      <c r="E22" s="86">
        <f t="shared" si="2"/>
        <v>0</v>
      </c>
      <c r="M22" s="92"/>
      <c r="N22" s="29"/>
      <c r="O22" s="30"/>
      <c r="P22" s="31" t="str">
        <f t="shared" si="1"/>
        <v/>
      </c>
      <c r="Q22" s="12"/>
      <c r="S22" s="11"/>
      <c r="T22" s="37"/>
      <c r="U22" s="12"/>
    </row>
    <row r="23" spans="2:21" ht="15.4" customHeight="1">
      <c r="B23" s="11"/>
      <c r="C23" s="25" t="s">
        <v>64</v>
      </c>
      <c r="D23" s="84" t="s">
        <v>66</v>
      </c>
      <c r="E23" s="86">
        <f t="shared" si="2"/>
        <v>0</v>
      </c>
      <c r="M23" s="92"/>
      <c r="N23" s="29"/>
      <c r="O23" s="30"/>
      <c r="P23" s="31" t="str">
        <f t="shared" si="1"/>
        <v/>
      </c>
      <c r="Q23" s="12"/>
      <c r="S23" s="11"/>
      <c r="T23" s="37"/>
      <c r="U23" s="12"/>
    </row>
    <row r="24" spans="2:21" ht="15.4" customHeight="1">
      <c r="B24" s="11"/>
      <c r="C24" s="25" t="s">
        <v>65</v>
      </c>
      <c r="D24" s="85" t="s">
        <v>66</v>
      </c>
      <c r="E24" s="86">
        <f t="shared" si="2"/>
        <v>0</v>
      </c>
      <c r="M24" s="92"/>
      <c r="N24" s="29"/>
      <c r="O24" s="30"/>
      <c r="P24" s="31" t="str">
        <f t="shared" si="1"/>
        <v/>
      </c>
      <c r="Q24" s="12"/>
      <c r="S24" s="11"/>
      <c r="T24" s="37"/>
      <c r="U24" s="12"/>
    </row>
    <row r="25" spans="2:21" ht="15.4" customHeight="1">
      <c r="B25" s="11"/>
      <c r="D25" s="87" t="str">
        <f>_xlfn.CONCAT(E18:E24)</f>
        <v>0000000</v>
      </c>
      <c r="E25" s="12"/>
      <c r="M25" s="92"/>
      <c r="N25" s="29"/>
      <c r="O25" s="30"/>
      <c r="P25" s="31" t="str">
        <f t="shared" si="1"/>
        <v/>
      </c>
      <c r="Q25" s="12"/>
      <c r="S25" s="11"/>
      <c r="T25" s="37"/>
      <c r="U25" s="12"/>
    </row>
    <row r="26" spans="2:21" ht="15.4" customHeight="1">
      <c r="B26" s="13"/>
      <c r="C26" s="14"/>
      <c r="D26" s="14"/>
      <c r="E26" s="15"/>
      <c r="M26" s="92"/>
      <c r="N26" s="29"/>
      <c r="O26" s="30"/>
      <c r="P26" s="31" t="str">
        <f t="shared" si="1"/>
        <v/>
      </c>
      <c r="Q26" s="12"/>
      <c r="S26" s="11"/>
      <c r="T26" s="37"/>
      <c r="U26" s="12"/>
    </row>
    <row r="27" spans="2:21" ht="15.4" customHeight="1">
      <c r="M27" s="92"/>
      <c r="N27" s="29"/>
      <c r="O27" s="30"/>
      <c r="P27" s="31" t="str">
        <f t="shared" si="1"/>
        <v/>
      </c>
      <c r="Q27" s="12"/>
      <c r="S27" s="11"/>
      <c r="T27" s="37"/>
      <c r="U27" s="12"/>
    </row>
    <row r="28" spans="2:21" ht="15.4" customHeight="1">
      <c r="M28" s="92"/>
      <c r="N28" s="29"/>
      <c r="O28" s="30"/>
      <c r="P28" s="31" t="str">
        <f t="shared" si="1"/>
        <v/>
      </c>
      <c r="Q28" s="12"/>
      <c r="S28" s="11"/>
      <c r="T28" s="37"/>
      <c r="U28" s="12"/>
    </row>
    <row r="29" spans="2:21" ht="15.4" customHeight="1">
      <c r="M29" s="92"/>
      <c r="N29" s="29"/>
      <c r="O29" s="30"/>
      <c r="P29" s="31" t="str">
        <f t="shared" si="1"/>
        <v/>
      </c>
      <c r="Q29" s="12"/>
      <c r="S29" s="11"/>
      <c r="T29" s="37"/>
      <c r="U29" s="12"/>
    </row>
    <row r="30" spans="2:21" ht="15.4" customHeight="1">
      <c r="M30" s="92"/>
      <c r="N30" s="29"/>
      <c r="O30" s="30"/>
      <c r="P30" s="31" t="str">
        <f t="shared" si="1"/>
        <v/>
      </c>
      <c r="Q30" s="12"/>
      <c r="S30" s="11"/>
      <c r="T30" s="37"/>
      <c r="U30" s="12"/>
    </row>
    <row r="31" spans="2:21" ht="15.4" customHeight="1">
      <c r="M31" s="92"/>
      <c r="N31" s="29"/>
      <c r="O31" s="30"/>
      <c r="P31" s="31" t="str">
        <f t="shared" si="1"/>
        <v/>
      </c>
      <c r="Q31" s="12"/>
      <c r="S31" s="11"/>
      <c r="T31" s="37"/>
      <c r="U31" s="12"/>
    </row>
    <row r="32" spans="2:21" ht="15.4" customHeight="1">
      <c r="M32" s="92"/>
      <c r="N32" s="29"/>
      <c r="O32" s="30"/>
      <c r="P32" s="31" t="str">
        <f t="shared" si="1"/>
        <v/>
      </c>
      <c r="Q32" s="12"/>
      <c r="S32" s="11"/>
      <c r="T32" s="37"/>
      <c r="U32" s="12"/>
    </row>
    <row r="33" spans="13:21" ht="15.4" customHeight="1">
      <c r="M33" s="92"/>
      <c r="N33" s="29"/>
      <c r="O33" s="30"/>
      <c r="P33" s="31" t="str">
        <f t="shared" si="1"/>
        <v/>
      </c>
      <c r="Q33" s="12"/>
      <c r="S33" s="11"/>
      <c r="T33" s="37"/>
      <c r="U33" s="12"/>
    </row>
    <row r="34" spans="13:21" ht="15.4" customHeight="1">
      <c r="M34" s="92"/>
      <c r="N34" s="29"/>
      <c r="O34" s="30"/>
      <c r="P34" s="31" t="str">
        <f t="shared" si="1"/>
        <v/>
      </c>
      <c r="Q34" s="12"/>
      <c r="S34" s="11"/>
      <c r="T34" s="37"/>
      <c r="U34" s="12"/>
    </row>
    <row r="35" spans="13:21" ht="15.4" customHeight="1">
      <c r="M35" s="92"/>
      <c r="N35" s="32"/>
      <c r="O35" s="33"/>
      <c r="P35" s="34" t="str">
        <f t="shared" si="1"/>
        <v/>
      </c>
      <c r="Q35" s="12"/>
      <c r="S35" s="11"/>
      <c r="T35" s="37"/>
      <c r="U35" s="12"/>
    </row>
    <row r="36" spans="13:21">
      <c r="M36" s="13"/>
      <c r="N36" s="14"/>
      <c r="O36" s="14"/>
      <c r="P36" s="14"/>
      <c r="Q36" s="15"/>
      <c r="S36" s="13"/>
      <c r="T36" s="14"/>
      <c r="U36" s="15"/>
    </row>
  </sheetData>
  <mergeCells count="8">
    <mergeCell ref="B16:E16"/>
    <mergeCell ref="BC2:BH2"/>
    <mergeCell ref="B2:D2"/>
    <mergeCell ref="X2:Y2"/>
    <mergeCell ref="B6:E6"/>
    <mergeCell ref="G6:K6"/>
    <mergeCell ref="M6:Q6"/>
    <mergeCell ref="S6:U6"/>
  </mergeCells>
  <phoneticPr fontId="16" type="noConversion"/>
  <conditionalFormatting sqref="D18:D24">
    <cfRule type="cellIs" dxfId="1" priority="1" operator="equal">
      <formula>"Off"</formula>
    </cfRule>
    <cfRule type="cellIs" dxfId="0" priority="2" operator="equal">
      <formula>"Work"</formula>
    </cfRule>
  </conditionalFormatting>
  <dataValidations count="3">
    <dataValidation type="list" allowBlank="1" showInputMessage="1" showErrorMessage="1" sqref="D12" xr:uid="{EFBE624A-6316-4E91-A77D-96564B0AC1B7}">
      <formula1>"High,Medium,Low"</formula1>
    </dataValidation>
    <dataValidation type="list" allowBlank="1" showInputMessage="1" showErrorMessage="1" sqref="O9:O35" xr:uid="{31ADE97E-A48A-476A-AAA5-39D744363317}">
      <formula1>OFFSET($H$9:$H$16,,,COUNTA($H$9:$H$16))</formula1>
    </dataValidation>
    <dataValidation type="list" allowBlank="1" showInputMessage="1" showErrorMessage="1" sqref="D18:D24" xr:uid="{D9E8E324-D92B-4B3B-8D41-C6B43C93A1A8}">
      <formula1>"Work,Off"</formula1>
    </dataValidation>
  </dataValidations>
  <hyperlinks>
    <hyperlink ref="BC2:BH2" location="Gantt!X2" tooltip="Go to settings" display="Settings" xr:uid="{1D4C7BBA-7410-4AF8-AA0F-E94575F2D54C}"/>
    <hyperlink ref="X2:Y2" location="Gantt!BL2" tooltip="Go to Gantt" display="Gantt" xr:uid="{24F79C1F-C510-4EC2-B6A0-8C9C0907E0F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0E0B-384B-4004-8ADA-1305B32D9C3A}">
  <sheetPr codeName="Sheet2">
    <tabColor rgb="FF00B050"/>
    <pageSetUpPr fitToPage="1"/>
  </sheetPr>
  <dimension ref="A1:CTX39"/>
  <sheetViews>
    <sheetView showGridLines="0" tabSelected="1" zoomScale="60" zoomScaleNormal="60" workbookViewId="0">
      <pane ySplit="14" topLeftCell="A15" activePane="bottomLeft" state="frozen"/>
      <selection pane="bottomLeft" activeCell="I10" sqref="I10"/>
    </sheetView>
  </sheetViews>
  <sheetFormatPr defaultColWidth="1.27734375" defaultRowHeight="20" outlineLevelRow="1" outlineLevelCol="1"/>
  <cols>
    <col min="1" max="1" width="1.21875" customWidth="1"/>
    <col min="2" max="2" width="1.6640625" customWidth="1"/>
    <col min="3" max="3" width="1.5" hidden="1" customWidth="1"/>
    <col min="4" max="4" width="1.27734375" hidden="1" customWidth="1"/>
    <col min="5" max="5" width="2.88671875" customWidth="1"/>
    <col min="6" max="6" width="27.1640625" customWidth="1"/>
    <col min="7" max="7" width="0.71875" customWidth="1"/>
    <col min="8" max="8" width="2.77734375" bestFit="1" customWidth="1"/>
    <col min="9" max="9" width="9.109375" bestFit="1" customWidth="1"/>
    <col min="10" max="10" width="3.21875" customWidth="1"/>
    <col min="11" max="12" width="5.77734375" hidden="1" customWidth="1" outlineLevel="1"/>
    <col min="13" max="13" width="2.1640625" hidden="1" customWidth="1" outlineLevel="1"/>
    <col min="14" max="14" width="1.5" hidden="1" customWidth="1" outlineLevel="1"/>
    <col min="15" max="15" width="3.88671875" hidden="1" customWidth="1" outlineLevel="1"/>
    <col min="16" max="16" width="2.71875" hidden="1" customWidth="1" outlineLevel="1"/>
    <col min="17" max="17" width="2.44140625" hidden="1" customWidth="1" outlineLevel="1"/>
    <col min="18" max="18" width="3.6640625" bestFit="1" customWidth="1" collapsed="1"/>
    <col min="19" max="19" width="6.609375" bestFit="1" customWidth="1"/>
    <col min="20" max="20" width="6.44140625" customWidth="1"/>
    <col min="21" max="21" width="5.77734375" customWidth="1" outlineLevel="1"/>
    <col min="22" max="22" width="3.21875" customWidth="1" outlineLevel="1"/>
    <col min="23" max="23" width="3.38671875" bestFit="1" customWidth="1"/>
    <col min="24" max="24" width="2.38671875" style="135" customWidth="1"/>
    <col min="25" max="25" width="1.609375" style="135" bestFit="1" customWidth="1"/>
    <col min="26" max="26" width="1.27734375" style="135" customWidth="1"/>
    <col min="27" max="29" width="1.88671875" style="135" bestFit="1" customWidth="1"/>
    <col min="30" max="30" width="1.71875" style="44" customWidth="1"/>
    <col min="31" max="36" width="1.88671875" style="135" bestFit="1" customWidth="1"/>
    <col min="37" max="37" width="1.88671875" style="44" bestFit="1" customWidth="1"/>
    <col min="38" max="43" width="1.88671875" style="135" bestFit="1" customWidth="1"/>
    <col min="44" max="44" width="1.88671875" style="44" bestFit="1" customWidth="1"/>
    <col min="45" max="50" width="1.88671875" style="135" bestFit="1" customWidth="1"/>
    <col min="51" max="51" width="1.88671875" style="44" bestFit="1" customWidth="1"/>
    <col min="52" max="53" width="1.88671875" style="135" bestFit="1" customWidth="1"/>
    <col min="54" max="54" width="1.88671875" style="135" customWidth="1"/>
    <col min="55" max="57" width="1.88671875" style="135" bestFit="1" customWidth="1"/>
    <col min="58" max="58" width="1.88671875" style="44" bestFit="1" customWidth="1"/>
    <col min="59" max="64" width="1.88671875" style="135" bestFit="1" customWidth="1"/>
    <col min="65" max="65" width="1.88671875" style="44" bestFit="1" customWidth="1"/>
    <col min="66" max="70" width="1.88671875" style="135" bestFit="1" customWidth="1"/>
    <col min="71" max="71" width="2.38671875" style="135" bestFit="1" customWidth="1"/>
    <col min="72" max="72" width="1.88671875" style="44" bestFit="1" customWidth="1"/>
    <col min="73" max="77" width="1.88671875" style="135" bestFit="1" customWidth="1"/>
    <col min="78" max="78" width="1.109375" style="135" customWidth="1"/>
    <col min="79" max="2572" width="1.88671875" style="135" bestFit="1" customWidth="1"/>
    <col min="2573" max="16384" width="1.27734375" style="135"/>
  </cols>
  <sheetData>
    <row r="1" spans="1:2572" s="3" customFormat="1" ht="17" customHeight="1" outlineLevel="1">
      <c r="A1" s="444" t="str">
        <f>Settings!D8</f>
        <v>ANTHEM BIOSCIENCES LIMITED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6"/>
      <c r="X1" s="366" t="s">
        <v>29</v>
      </c>
      <c r="Y1" s="367"/>
      <c r="Z1" s="367"/>
      <c r="AA1" s="367"/>
      <c r="AB1" s="367"/>
      <c r="AC1" s="367"/>
      <c r="AD1" s="367"/>
      <c r="AE1" s="360" t="str">
        <f>$R$15 &amp; " days"</f>
        <v>48 days</v>
      </c>
      <c r="AF1" s="360"/>
      <c r="AG1" s="360"/>
      <c r="AH1" s="360"/>
      <c r="AI1" s="360"/>
      <c r="AJ1" s="361"/>
      <c r="AK1" s="366" t="s">
        <v>107</v>
      </c>
      <c r="AL1" s="367"/>
      <c r="AM1" s="367"/>
      <c r="AN1" s="367"/>
      <c r="AO1" s="367"/>
      <c r="AP1" s="367"/>
      <c r="AQ1" s="367"/>
      <c r="AR1" s="360" t="str">
        <f>Settings!D10</f>
        <v>Keerthan Gowda</v>
      </c>
      <c r="AS1" s="360"/>
      <c r="AT1" s="360"/>
      <c r="AU1" s="360"/>
      <c r="AV1" s="360"/>
      <c r="AW1" s="360"/>
      <c r="AX1" s="360"/>
      <c r="AY1" s="360"/>
      <c r="AZ1" s="361"/>
      <c r="CH1" s="358" t="s">
        <v>24</v>
      </c>
      <c r="CI1" s="381"/>
      <c r="CJ1" s="381"/>
      <c r="CK1" s="381"/>
      <c r="CL1" s="381"/>
      <c r="CM1" s="359"/>
    </row>
    <row r="2" spans="1:2572" s="3" customFormat="1" ht="21" customHeight="1" outlineLevel="1">
      <c r="A2" s="444"/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5"/>
      <c r="W2" s="446"/>
      <c r="X2" s="393">
        <f>MIN(S15:S1048576)</f>
        <v>46190</v>
      </c>
      <c r="Y2" s="394"/>
      <c r="Z2" s="394"/>
      <c r="AA2" s="394"/>
      <c r="AB2" s="394"/>
      <c r="AC2" s="394"/>
      <c r="AD2" s="396" t="s">
        <v>30</v>
      </c>
      <c r="AE2" s="394">
        <f>MAX(T15:T1048576)</f>
        <v>46237</v>
      </c>
      <c r="AF2" s="394"/>
      <c r="AG2" s="394"/>
      <c r="AH2" s="394"/>
      <c r="AI2" s="394"/>
      <c r="AJ2" s="395"/>
      <c r="AK2" s="368"/>
      <c r="AL2" s="369"/>
      <c r="AM2" s="369"/>
      <c r="AN2" s="369"/>
      <c r="AO2" s="369"/>
      <c r="AP2" s="369"/>
      <c r="AQ2" s="369"/>
      <c r="AR2" s="362"/>
      <c r="AS2" s="362"/>
      <c r="AT2" s="362"/>
      <c r="AU2" s="362"/>
      <c r="AV2" s="362"/>
      <c r="AW2" s="362"/>
      <c r="AX2" s="362"/>
      <c r="AY2" s="362"/>
      <c r="AZ2" s="363"/>
    </row>
    <row r="3" spans="1:2572" s="3" customFormat="1" ht="16.5" customHeight="1" outlineLevel="1">
      <c r="A3" s="444"/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  <c r="R3" s="445"/>
      <c r="S3" s="445"/>
      <c r="T3" s="445"/>
      <c r="U3" s="445"/>
      <c r="V3" s="445"/>
      <c r="W3" s="446"/>
      <c r="X3" s="393"/>
      <c r="Y3" s="394"/>
      <c r="Z3" s="394"/>
      <c r="AA3" s="394"/>
      <c r="AB3" s="394"/>
      <c r="AC3" s="394"/>
      <c r="AD3" s="396"/>
      <c r="AE3" s="394"/>
      <c r="AF3" s="394"/>
      <c r="AG3" s="394"/>
      <c r="AH3" s="394"/>
      <c r="AI3" s="394"/>
      <c r="AJ3" s="395"/>
      <c r="AK3" s="368"/>
      <c r="AL3" s="369"/>
      <c r="AM3" s="369"/>
      <c r="AN3" s="369"/>
      <c r="AO3" s="369"/>
      <c r="AP3" s="370"/>
      <c r="AQ3" s="370"/>
      <c r="AR3" s="364"/>
      <c r="AS3" s="364"/>
      <c r="AT3" s="364"/>
      <c r="AU3" s="364"/>
      <c r="AV3" s="364"/>
      <c r="AW3" s="364"/>
      <c r="AX3" s="364"/>
      <c r="AY3" s="364"/>
      <c r="AZ3" s="365"/>
    </row>
    <row r="4" spans="1:2572" customFormat="1" ht="23" outlineLevel="1">
      <c r="A4" s="441"/>
      <c r="B4" s="83" t="s">
        <v>0</v>
      </c>
      <c r="C4" s="62" t="s">
        <v>45</v>
      </c>
      <c r="D4" s="83" t="s">
        <v>46</v>
      </c>
      <c r="E4" s="83" t="s">
        <v>54</v>
      </c>
      <c r="F4" s="83" t="s">
        <v>53</v>
      </c>
      <c r="G4" s="1"/>
      <c r="H4" s="1"/>
      <c r="I4" s="376" t="s">
        <v>112</v>
      </c>
      <c r="J4" s="376"/>
      <c r="K4" s="376"/>
      <c r="L4" s="376"/>
      <c r="M4" s="376"/>
      <c r="N4" s="376"/>
      <c r="O4" s="376"/>
      <c r="P4" s="376"/>
      <c r="Q4" s="376"/>
      <c r="R4" s="376"/>
      <c r="S4" s="376"/>
      <c r="T4" s="376"/>
      <c r="U4" s="376"/>
      <c r="V4" s="376"/>
      <c r="W4" s="397"/>
      <c r="X4" s="398" t="s">
        <v>43</v>
      </c>
      <c r="Y4" s="398"/>
      <c r="Z4" s="398"/>
      <c r="AA4" s="398"/>
      <c r="AB4" s="398"/>
      <c r="AC4" s="398"/>
      <c r="AD4" s="398"/>
      <c r="AE4" s="399" t="s">
        <v>44</v>
      </c>
      <c r="AF4" s="399"/>
      <c r="AG4" s="399"/>
      <c r="AH4" s="399"/>
      <c r="AI4" s="399"/>
      <c r="AJ4" s="399"/>
      <c r="AK4" s="399"/>
      <c r="AL4" s="399"/>
      <c r="AM4" s="399"/>
      <c r="AN4" s="399"/>
      <c r="AO4" s="399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</row>
    <row r="5" spans="1:2572" customFormat="1" outlineLevel="1">
      <c r="A5" s="441"/>
      <c r="G5" s="1"/>
      <c r="H5" s="1"/>
      <c r="I5" s="1"/>
      <c r="J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398" t="s">
        <v>40</v>
      </c>
      <c r="Y5" s="398"/>
      <c r="Z5" s="398"/>
      <c r="AA5" s="398"/>
      <c r="AB5" s="398"/>
      <c r="AC5" s="398"/>
      <c r="AD5" s="398"/>
      <c r="AE5" s="400" t="s">
        <v>55</v>
      </c>
      <c r="AF5" s="400"/>
      <c r="AG5" s="400"/>
      <c r="AH5" s="400"/>
      <c r="AI5" s="400"/>
      <c r="AJ5" s="400"/>
      <c r="AK5" s="400"/>
      <c r="AL5" s="400"/>
      <c r="AM5" s="400"/>
      <c r="AN5" s="400"/>
      <c r="AO5" s="400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</row>
    <row r="6" spans="1:2572" customFormat="1" outlineLevel="1">
      <c r="A6" s="442"/>
      <c r="G6" s="39"/>
      <c r="H6" s="39"/>
      <c r="I6" s="39"/>
      <c r="J6" s="39"/>
      <c r="M6" s="39"/>
      <c r="N6" s="39"/>
      <c r="O6" s="45"/>
      <c r="P6" s="40"/>
      <c r="Q6" s="40"/>
      <c r="R6" s="40"/>
      <c r="S6" s="40"/>
      <c r="T6" s="39"/>
      <c r="U6" s="39"/>
      <c r="V6" s="39"/>
      <c r="W6" s="39"/>
      <c r="X6" s="398" t="s">
        <v>41</v>
      </c>
      <c r="Y6" s="398"/>
      <c r="Z6" s="398"/>
      <c r="AA6" s="398"/>
      <c r="AB6" s="398"/>
      <c r="AC6" s="398"/>
      <c r="AD6" s="398"/>
      <c r="AE6" s="400" t="s">
        <v>69</v>
      </c>
      <c r="AF6" s="400"/>
      <c r="AG6" s="400"/>
      <c r="AH6" s="400"/>
      <c r="AI6" s="400"/>
      <c r="AJ6" s="400"/>
      <c r="AK6" s="400"/>
      <c r="AL6" s="400"/>
      <c r="AM6" s="400"/>
      <c r="AN6" s="400"/>
      <c r="AO6" s="400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</row>
    <row r="7" spans="1:2572" customFormat="1" outlineLevel="1">
      <c r="A7" s="442"/>
      <c r="G7" s="39"/>
      <c r="H7" s="39"/>
      <c r="I7" s="39"/>
      <c r="J7" s="39"/>
      <c r="M7" s="39"/>
      <c r="N7" s="39"/>
      <c r="O7" s="40"/>
      <c r="P7" s="40"/>
      <c r="Q7" s="40"/>
      <c r="R7" s="40"/>
      <c r="S7" s="40"/>
      <c r="T7" s="38"/>
      <c r="U7" s="39"/>
      <c r="V7" s="39"/>
      <c r="W7" s="39"/>
      <c r="X7" s="398" t="s">
        <v>42</v>
      </c>
      <c r="Y7" s="398"/>
      <c r="Z7" s="398"/>
      <c r="AA7" s="398"/>
      <c r="AB7" s="398"/>
      <c r="AC7" s="398"/>
      <c r="AD7" s="398"/>
      <c r="AE7" s="400" t="s">
        <v>113</v>
      </c>
      <c r="AF7" s="400"/>
      <c r="AG7" s="400"/>
      <c r="AH7" s="400"/>
      <c r="AI7" s="400"/>
      <c r="AJ7" s="400"/>
      <c r="AK7" s="400"/>
      <c r="AL7" s="400"/>
      <c r="AM7" s="400"/>
      <c r="AN7" s="400"/>
      <c r="AO7" s="400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</row>
    <row r="8" spans="1:2572" customFormat="1">
      <c r="A8" s="442"/>
      <c r="B8" s="39"/>
      <c r="C8" s="39"/>
      <c r="D8" s="39"/>
      <c r="G8" s="39"/>
      <c r="H8" s="39"/>
      <c r="I8" s="39"/>
      <c r="J8" s="39"/>
      <c r="K8" s="39"/>
      <c r="L8" s="39"/>
      <c r="M8" s="39"/>
      <c r="N8" s="39"/>
      <c r="O8" s="40"/>
      <c r="P8" s="40"/>
      <c r="Q8" s="40"/>
      <c r="R8" s="40"/>
      <c r="S8" s="40"/>
      <c r="T8" s="39"/>
      <c r="U8" s="39"/>
      <c r="V8" s="39"/>
      <c r="W8" s="82" t="s">
        <v>57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</row>
    <row r="9" spans="1:2572" s="123" customFormat="1" ht="8.25" customHeight="1">
      <c r="A9" s="442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/>
      <c r="X9" s="96"/>
      <c r="Y9" s="96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274"/>
      <c r="BO9" s="274"/>
      <c r="BP9" s="274"/>
      <c r="BQ9" s="274"/>
      <c r="BR9" s="274"/>
      <c r="BS9" s="274"/>
      <c r="BT9" s="274"/>
      <c r="BU9" s="274"/>
    </row>
    <row r="10" spans="1:2572" s="127" customFormat="1" ht="15.4" customHeight="1">
      <c r="A10" s="11"/>
      <c r="B10"/>
      <c r="C10"/>
      <c r="D10"/>
      <c r="E10"/>
      <c r="F10"/>
      <c r="G10"/>
      <c r="H10"/>
      <c r="I10"/>
      <c r="J10"/>
      <c r="K10" s="385" t="s">
        <v>6</v>
      </c>
      <c r="L10" s="385"/>
      <c r="M10" s="385"/>
      <c r="N10" s="385"/>
      <c r="O10" s="385"/>
      <c r="P10" s="385"/>
      <c r="Q10" s="385"/>
      <c r="R10" s="385"/>
      <c r="S10" s="385"/>
      <c r="T10" s="385"/>
      <c r="U10" s="386" t="s">
        <v>7</v>
      </c>
      <c r="V10" s="386"/>
      <c r="W10" s="36" t="s">
        <v>44</v>
      </c>
      <c r="X10" s="379">
        <v>46188</v>
      </c>
      <c r="Y10" s="382">
        <v>46189</v>
      </c>
      <c r="Z10" s="374">
        <v>46190</v>
      </c>
      <c r="AA10" s="374">
        <v>46191</v>
      </c>
      <c r="AB10" s="374">
        <v>46192</v>
      </c>
      <c r="AC10" s="374">
        <v>46193</v>
      </c>
      <c r="AD10" s="377">
        <v>46194</v>
      </c>
      <c r="AE10" s="371">
        <v>46195</v>
      </c>
      <c r="AF10" s="374">
        <v>46196</v>
      </c>
      <c r="AG10" s="383">
        <v>46197</v>
      </c>
      <c r="AH10" s="375">
        <v>46198</v>
      </c>
      <c r="AI10" s="374">
        <v>46199</v>
      </c>
      <c r="AJ10" s="374">
        <v>46200</v>
      </c>
      <c r="AK10" s="377">
        <v>46201</v>
      </c>
      <c r="AL10" s="371">
        <v>46202</v>
      </c>
      <c r="AM10" s="375">
        <v>46203</v>
      </c>
      <c r="AN10" s="374">
        <v>46204</v>
      </c>
      <c r="AO10" s="375">
        <v>46205</v>
      </c>
      <c r="AP10" s="374">
        <v>46206</v>
      </c>
      <c r="AQ10" s="374">
        <v>46207</v>
      </c>
      <c r="AR10" s="372">
        <v>46208</v>
      </c>
      <c r="AS10" s="371">
        <v>46209</v>
      </c>
      <c r="AT10" s="375">
        <v>46210</v>
      </c>
      <c r="AU10" s="374">
        <v>46211</v>
      </c>
      <c r="AV10" s="374">
        <v>46212</v>
      </c>
      <c r="AW10" s="375">
        <v>46213</v>
      </c>
      <c r="AX10" s="375">
        <v>46214</v>
      </c>
      <c r="AY10" s="372">
        <v>46215</v>
      </c>
      <c r="AZ10" s="371">
        <v>46216</v>
      </c>
      <c r="BA10" s="374">
        <v>46217</v>
      </c>
      <c r="BB10" s="375">
        <v>46218</v>
      </c>
      <c r="BC10" s="375">
        <v>46219</v>
      </c>
      <c r="BD10" s="375">
        <v>46220</v>
      </c>
      <c r="BE10" s="374">
        <v>46221</v>
      </c>
      <c r="BF10" s="377">
        <v>46222</v>
      </c>
      <c r="BG10" s="373">
        <v>46223</v>
      </c>
      <c r="BH10" s="375">
        <v>46224</v>
      </c>
      <c r="BI10" s="375">
        <v>46225</v>
      </c>
      <c r="BJ10" s="374">
        <v>46226</v>
      </c>
      <c r="BK10" s="374">
        <v>46227</v>
      </c>
      <c r="BL10" s="375">
        <v>46228</v>
      </c>
      <c r="BM10" s="372">
        <v>46229</v>
      </c>
      <c r="BN10" s="373">
        <v>46230</v>
      </c>
      <c r="BO10" s="374">
        <v>46231</v>
      </c>
      <c r="BP10" s="374">
        <v>46232</v>
      </c>
      <c r="BQ10" s="375">
        <v>46233</v>
      </c>
      <c r="BR10" s="375">
        <v>46234</v>
      </c>
      <c r="BS10" s="375">
        <v>46235</v>
      </c>
      <c r="BT10" s="377">
        <v>46236</v>
      </c>
      <c r="BU10" s="371">
        <v>46237</v>
      </c>
      <c r="BV10" s="125"/>
      <c r="BW10" s="125"/>
      <c r="BX10" s="125"/>
      <c r="BY10" s="124"/>
      <c r="BZ10" s="124"/>
      <c r="CA10" s="125"/>
      <c r="CB10" s="125"/>
      <c r="CC10" s="125"/>
      <c r="CD10" s="124"/>
      <c r="CE10" s="124"/>
      <c r="CF10" s="125"/>
      <c r="CG10" s="125"/>
      <c r="CH10" s="125"/>
      <c r="CI10" s="124"/>
      <c r="CJ10" s="124"/>
      <c r="CK10" s="125"/>
      <c r="CL10" s="125"/>
      <c r="CM10" s="125"/>
      <c r="CN10" s="124"/>
      <c r="CO10" s="124"/>
      <c r="CP10" s="125"/>
      <c r="CQ10" s="125"/>
      <c r="CR10" s="125"/>
      <c r="CS10" s="124"/>
      <c r="CT10" s="124"/>
      <c r="CU10" s="125"/>
      <c r="CV10" s="125"/>
      <c r="CW10" s="125"/>
      <c r="CX10" s="124"/>
      <c r="CY10" s="124"/>
      <c r="CZ10" s="125"/>
      <c r="DA10" s="125"/>
      <c r="DB10" s="125"/>
      <c r="DC10" s="124"/>
      <c r="DD10" s="124"/>
      <c r="DE10" s="125"/>
      <c r="DF10" s="125"/>
      <c r="DG10" s="125"/>
      <c r="DH10" s="124"/>
      <c r="DI10" s="124"/>
      <c r="DJ10" s="125"/>
      <c r="DK10" s="125"/>
      <c r="DL10" s="125"/>
      <c r="DM10" s="124"/>
      <c r="DN10" s="124"/>
      <c r="DO10" s="125"/>
      <c r="DP10" s="125"/>
      <c r="DQ10" s="125"/>
      <c r="DR10" s="124"/>
      <c r="DS10" s="124"/>
      <c r="DT10" s="125"/>
      <c r="DU10" s="125"/>
      <c r="DV10" s="125"/>
      <c r="DW10" s="124"/>
      <c r="DX10" s="124"/>
      <c r="DY10" s="125"/>
      <c r="DZ10" s="125"/>
      <c r="EA10" s="125"/>
      <c r="EB10" s="124"/>
      <c r="EC10" s="124"/>
      <c r="ED10" s="125"/>
      <c r="EE10" s="125"/>
      <c r="EF10" s="125"/>
      <c r="EG10" s="125"/>
      <c r="EH10" s="124"/>
      <c r="EI10" s="125"/>
      <c r="EJ10" s="125"/>
      <c r="EK10" s="125"/>
      <c r="EL10" s="125"/>
      <c r="EM10" s="125"/>
      <c r="EN10" s="125"/>
      <c r="EO10" s="125"/>
      <c r="EP10" s="125"/>
      <c r="EQ10" s="125"/>
      <c r="ER10" s="125"/>
      <c r="ES10" s="125"/>
      <c r="ET10" s="125"/>
      <c r="EU10" s="125"/>
      <c r="EV10" s="125"/>
      <c r="EW10" s="125"/>
      <c r="EX10" s="125"/>
      <c r="EY10" s="125"/>
      <c r="EZ10" s="125"/>
      <c r="FA10" s="125"/>
      <c r="FB10" s="125"/>
      <c r="FC10" s="125"/>
      <c r="FD10" s="125"/>
      <c r="FE10" s="125"/>
      <c r="FF10" s="125"/>
      <c r="FG10" s="125"/>
      <c r="FH10" s="125"/>
      <c r="FI10" s="125"/>
      <c r="FJ10" s="125"/>
      <c r="FK10" s="125"/>
      <c r="FL10" s="125"/>
      <c r="FM10" s="125"/>
      <c r="FN10" s="125"/>
      <c r="FO10" s="125"/>
      <c r="FP10" s="125"/>
      <c r="FQ10" s="125"/>
      <c r="FR10" s="125"/>
      <c r="FS10" s="125"/>
      <c r="FT10" s="125"/>
      <c r="FU10" s="125"/>
      <c r="FV10" s="125"/>
      <c r="FW10" s="125"/>
      <c r="FX10" s="125"/>
      <c r="FY10" s="125"/>
      <c r="FZ10" s="125"/>
      <c r="GA10" s="125"/>
      <c r="GB10" s="125"/>
      <c r="GC10" s="125"/>
      <c r="GD10" s="125"/>
      <c r="GE10" s="125"/>
      <c r="GF10" s="125"/>
      <c r="GG10" s="125"/>
      <c r="GH10" s="125"/>
      <c r="GI10" s="125"/>
      <c r="GJ10" s="125"/>
      <c r="GK10" s="125"/>
      <c r="GL10" s="125"/>
      <c r="GM10" s="125"/>
      <c r="GN10" s="125"/>
      <c r="GO10" s="125"/>
      <c r="GP10" s="125"/>
      <c r="GQ10" s="125"/>
      <c r="GR10" s="125"/>
      <c r="GS10" s="125"/>
      <c r="GT10" s="125"/>
      <c r="GU10" s="125"/>
      <c r="GV10" s="125"/>
      <c r="GW10" s="125"/>
      <c r="GX10" s="125"/>
      <c r="GY10" s="125"/>
      <c r="GZ10" s="125"/>
      <c r="HA10" s="125"/>
      <c r="HB10" s="125"/>
      <c r="HC10" s="125"/>
      <c r="HD10" s="125"/>
      <c r="HE10" s="125"/>
      <c r="HF10" s="125"/>
      <c r="HG10" s="125"/>
      <c r="HH10" s="125"/>
      <c r="HI10" s="125"/>
      <c r="HJ10" s="125"/>
      <c r="HK10" s="125"/>
      <c r="HL10" s="125"/>
      <c r="HM10" s="125"/>
      <c r="HN10" s="125"/>
      <c r="HO10" s="125"/>
      <c r="HP10" s="125"/>
      <c r="HQ10" s="125"/>
      <c r="HR10" s="125"/>
      <c r="HS10" s="125"/>
      <c r="HT10" s="125"/>
      <c r="HU10" s="125"/>
      <c r="HV10" s="125"/>
      <c r="HW10" s="125"/>
      <c r="HX10" s="125"/>
      <c r="HY10" s="125"/>
      <c r="HZ10" s="125"/>
      <c r="IA10" s="125"/>
      <c r="IB10" s="125"/>
      <c r="IC10" s="125"/>
      <c r="ID10" s="125"/>
      <c r="IE10" s="125"/>
      <c r="IF10" s="125"/>
      <c r="IG10" s="125"/>
      <c r="IH10" s="125"/>
      <c r="II10" s="125"/>
      <c r="IJ10" s="125"/>
      <c r="IK10" s="126"/>
      <c r="IL10" s="125"/>
      <c r="IM10" s="125"/>
      <c r="IN10" s="125"/>
      <c r="IO10" s="125"/>
      <c r="IP10" s="125"/>
      <c r="IQ10" s="125"/>
      <c r="IR10" s="124"/>
      <c r="IS10" s="125"/>
      <c r="IT10" s="125"/>
      <c r="IU10" s="125"/>
      <c r="IV10" s="125"/>
      <c r="IW10" s="125"/>
      <c r="IX10" s="125"/>
      <c r="IY10" s="125"/>
      <c r="IZ10" s="125"/>
      <c r="JA10" s="125"/>
      <c r="JB10" s="125"/>
      <c r="JC10" s="125"/>
      <c r="JD10" s="125"/>
      <c r="JE10" s="125"/>
      <c r="JF10" s="125"/>
      <c r="JG10" s="125"/>
      <c r="JH10" s="125"/>
      <c r="JI10" s="125"/>
      <c r="JJ10" s="125"/>
      <c r="JK10" s="125"/>
      <c r="JL10" s="125"/>
      <c r="JM10" s="125"/>
      <c r="JN10" s="125"/>
      <c r="JO10" s="125"/>
      <c r="JP10" s="125"/>
      <c r="JQ10" s="125"/>
      <c r="JR10" s="125"/>
      <c r="JS10" s="125"/>
      <c r="JT10" s="125"/>
      <c r="JU10" s="125"/>
      <c r="JV10" s="125"/>
      <c r="JW10" s="125"/>
      <c r="JX10" s="125"/>
      <c r="JY10" s="125"/>
      <c r="JZ10" s="125"/>
      <c r="KA10" s="125"/>
      <c r="KB10" s="125"/>
      <c r="KC10" s="125"/>
      <c r="KD10" s="125"/>
      <c r="KE10" s="125"/>
      <c r="KF10" s="125"/>
      <c r="KG10" s="125"/>
      <c r="KH10" s="125"/>
      <c r="KI10" s="125"/>
      <c r="KJ10" s="125"/>
      <c r="KK10" s="125"/>
      <c r="KL10" s="125"/>
      <c r="KM10" s="125"/>
      <c r="KN10" s="125"/>
      <c r="KO10" s="125"/>
      <c r="KP10" s="125"/>
      <c r="KQ10" s="125"/>
      <c r="KR10" s="125"/>
      <c r="KS10" s="125"/>
      <c r="KT10" s="125"/>
      <c r="KU10" s="125"/>
      <c r="KV10" s="125"/>
      <c r="KW10" s="125"/>
      <c r="KX10" s="125"/>
      <c r="KY10" s="125"/>
      <c r="KZ10" s="125"/>
      <c r="LA10" s="125"/>
      <c r="LB10" s="125"/>
      <c r="LC10" s="125"/>
      <c r="LD10" s="125"/>
      <c r="LE10" s="125"/>
      <c r="LF10" s="125"/>
      <c r="LG10" s="125"/>
      <c r="LH10" s="125"/>
      <c r="LI10" s="125"/>
      <c r="LJ10" s="125"/>
      <c r="LK10" s="125"/>
      <c r="LL10" s="125"/>
      <c r="LM10" s="125"/>
      <c r="LN10" s="125"/>
      <c r="LO10" s="125"/>
      <c r="LP10" s="125"/>
      <c r="LQ10" s="125"/>
      <c r="LR10" s="125"/>
      <c r="LS10" s="125"/>
      <c r="LT10" s="125"/>
      <c r="LU10" s="125"/>
      <c r="LV10" s="125"/>
      <c r="LW10" s="125"/>
      <c r="LX10" s="125"/>
      <c r="LY10" s="125"/>
      <c r="LZ10" s="125"/>
      <c r="MA10" s="125"/>
      <c r="MB10" s="125"/>
      <c r="MC10" s="125"/>
      <c r="MD10" s="125"/>
      <c r="ME10" s="125"/>
      <c r="MF10" s="125"/>
      <c r="MG10" s="125"/>
      <c r="MH10" s="125"/>
      <c r="MI10" s="125"/>
      <c r="MJ10" s="125"/>
      <c r="MK10" s="125"/>
      <c r="ML10" s="125"/>
      <c r="MM10" s="125"/>
      <c r="MN10" s="125"/>
      <c r="MO10" s="125"/>
      <c r="MP10" s="125"/>
      <c r="MQ10" s="125"/>
      <c r="MR10" s="125"/>
      <c r="MS10" s="125"/>
      <c r="MT10" s="125"/>
      <c r="MU10" s="125"/>
      <c r="MV10" s="125"/>
      <c r="MW10" s="125"/>
      <c r="MX10" s="125"/>
      <c r="MY10" s="125"/>
      <c r="MZ10" s="125"/>
      <c r="NA10" s="125"/>
      <c r="NB10" s="125"/>
      <c r="NC10" s="125"/>
      <c r="ND10" s="125"/>
      <c r="NE10" s="125"/>
      <c r="NF10" s="125"/>
      <c r="NG10" s="125"/>
      <c r="NH10" s="125"/>
      <c r="NI10" s="125"/>
      <c r="NJ10" s="125"/>
      <c r="NK10" s="125"/>
      <c r="NL10" s="125"/>
      <c r="NM10" s="125"/>
      <c r="NN10" s="125"/>
      <c r="NO10" s="125"/>
      <c r="NP10" s="125"/>
      <c r="NQ10" s="125"/>
      <c r="NR10" s="125"/>
      <c r="NS10" s="125"/>
      <c r="NT10" s="125"/>
      <c r="NU10" s="125"/>
      <c r="NV10" s="125"/>
      <c r="NW10" s="125"/>
      <c r="NX10" s="125"/>
      <c r="NY10" s="125"/>
      <c r="NZ10" s="125"/>
      <c r="OA10" s="125"/>
      <c r="OB10" s="125"/>
      <c r="OC10" s="125"/>
      <c r="OD10" s="125"/>
      <c r="OE10" s="125"/>
      <c r="OF10" s="125"/>
      <c r="OG10" s="125"/>
      <c r="OH10" s="125"/>
      <c r="OI10" s="125"/>
      <c r="OJ10" s="125"/>
      <c r="OK10" s="125"/>
      <c r="OL10" s="125"/>
      <c r="OM10" s="125"/>
      <c r="ON10" s="125"/>
      <c r="OO10" s="125"/>
      <c r="OP10" s="125"/>
      <c r="OQ10" s="125"/>
      <c r="OR10" s="125"/>
      <c r="OS10" s="125"/>
      <c r="OT10" s="125"/>
      <c r="OU10" s="125"/>
      <c r="OV10" s="125"/>
      <c r="OW10" s="125"/>
      <c r="OX10" s="125"/>
      <c r="OY10" s="125"/>
      <c r="OZ10" s="125"/>
      <c r="PA10" s="125"/>
      <c r="PB10" s="125"/>
      <c r="PC10" s="125"/>
      <c r="PD10" s="125"/>
      <c r="PE10" s="125"/>
      <c r="PF10" s="125"/>
      <c r="PG10" s="125"/>
      <c r="PH10" s="125"/>
      <c r="PI10" s="125"/>
      <c r="PJ10" s="125"/>
      <c r="PK10" s="125"/>
      <c r="PL10" s="125"/>
      <c r="PM10" s="125"/>
      <c r="PN10" s="125"/>
      <c r="PO10" s="125"/>
      <c r="PP10" s="125"/>
      <c r="PQ10" s="125"/>
      <c r="PR10" s="125"/>
      <c r="PS10" s="125"/>
      <c r="PT10" s="125"/>
      <c r="PU10" s="125"/>
      <c r="PV10" s="125"/>
      <c r="PW10" s="125"/>
      <c r="PX10" s="125"/>
      <c r="PY10" s="125"/>
      <c r="PZ10" s="125"/>
      <c r="QA10" s="125"/>
      <c r="QB10" s="125"/>
      <c r="QC10" s="125"/>
      <c r="QD10" s="125"/>
      <c r="QE10" s="125"/>
      <c r="QF10" s="125"/>
      <c r="QG10" s="125"/>
      <c r="QH10" s="125"/>
      <c r="QI10" s="125"/>
      <c r="QJ10" s="125"/>
      <c r="QK10" s="125"/>
      <c r="QL10" s="125"/>
      <c r="QM10" s="125"/>
      <c r="QN10" s="125"/>
      <c r="QO10" s="125"/>
      <c r="QP10" s="125"/>
      <c r="QQ10" s="125"/>
      <c r="QR10" s="125"/>
      <c r="QS10" s="125"/>
      <c r="QT10" s="125"/>
      <c r="QU10" s="125"/>
      <c r="QV10" s="125"/>
      <c r="QW10" s="125"/>
      <c r="QX10" s="125"/>
      <c r="QY10" s="125"/>
      <c r="QZ10" s="125"/>
      <c r="RA10" s="125"/>
      <c r="RB10" s="125"/>
      <c r="RC10" s="125"/>
      <c r="RD10" s="125"/>
      <c r="RE10" s="125"/>
      <c r="RF10" s="125"/>
      <c r="RG10" s="125"/>
      <c r="RH10" s="125"/>
      <c r="RI10" s="125"/>
      <c r="RJ10" s="125"/>
      <c r="RK10" s="125"/>
      <c r="RL10" s="125"/>
      <c r="RM10" s="125"/>
      <c r="RN10" s="125"/>
      <c r="RO10" s="125"/>
      <c r="RP10" s="125"/>
      <c r="RQ10" s="125"/>
      <c r="RR10" s="125"/>
      <c r="RS10" s="125"/>
      <c r="RT10" s="125"/>
      <c r="RU10" s="125"/>
      <c r="RV10" s="125"/>
      <c r="RW10" s="125"/>
      <c r="RX10" s="125"/>
      <c r="RY10" s="125"/>
      <c r="RZ10" s="125"/>
      <c r="SA10" s="125"/>
      <c r="SB10" s="125"/>
      <c r="SC10" s="125"/>
      <c r="SD10" s="125"/>
      <c r="SE10" s="125"/>
      <c r="SF10" s="125"/>
      <c r="SG10" s="125"/>
      <c r="SH10" s="125"/>
      <c r="SI10" s="125"/>
      <c r="SJ10" s="125"/>
      <c r="SK10" s="125"/>
      <c r="SL10" s="125"/>
      <c r="SM10" s="125"/>
      <c r="SN10" s="125"/>
      <c r="SO10" s="125"/>
      <c r="SP10" s="125"/>
      <c r="SQ10" s="125"/>
      <c r="SR10" s="125"/>
      <c r="SS10" s="125"/>
      <c r="ST10" s="125"/>
      <c r="SU10" s="125"/>
      <c r="SV10" s="125"/>
      <c r="SW10" s="125"/>
      <c r="SX10" s="125"/>
      <c r="SY10" s="125"/>
      <c r="SZ10" s="125"/>
      <c r="TA10" s="125"/>
      <c r="TB10" s="125"/>
      <c r="TC10" s="125"/>
      <c r="TD10" s="125"/>
      <c r="TE10" s="125"/>
      <c r="TF10" s="125"/>
      <c r="TG10" s="125"/>
      <c r="TH10" s="125"/>
      <c r="TI10" s="125"/>
      <c r="TJ10" s="125"/>
      <c r="TK10" s="125"/>
      <c r="TL10" s="125"/>
      <c r="TM10" s="125"/>
      <c r="TN10" s="125"/>
      <c r="TO10" s="125"/>
      <c r="TP10" s="125"/>
      <c r="TQ10" s="125"/>
      <c r="TR10" s="125"/>
      <c r="TS10" s="125"/>
      <c r="TT10" s="125"/>
      <c r="TU10" s="125"/>
      <c r="TV10" s="125"/>
      <c r="TW10" s="125"/>
      <c r="TX10" s="125"/>
      <c r="TY10" s="125"/>
      <c r="TZ10" s="125"/>
      <c r="UA10" s="125"/>
      <c r="UB10" s="125"/>
      <c r="UC10" s="125"/>
      <c r="UD10" s="125"/>
      <c r="UE10" s="125"/>
      <c r="UF10" s="125"/>
      <c r="UG10" s="125"/>
      <c r="UH10" s="125"/>
      <c r="UI10" s="125"/>
      <c r="UJ10" s="125"/>
      <c r="UK10" s="125"/>
      <c r="UL10" s="125"/>
      <c r="UM10" s="125"/>
      <c r="UN10" s="125"/>
      <c r="UO10" s="125"/>
      <c r="UP10" s="125"/>
      <c r="UQ10" s="125"/>
      <c r="UR10" s="125"/>
      <c r="US10" s="125"/>
      <c r="UT10" s="125"/>
      <c r="UU10" s="125"/>
      <c r="UV10" s="125"/>
      <c r="UW10" s="125"/>
      <c r="UX10" s="125"/>
      <c r="UY10" s="125"/>
      <c r="UZ10" s="125"/>
      <c r="VA10" s="125"/>
      <c r="VB10" s="125"/>
      <c r="VC10" s="125"/>
      <c r="VD10" s="125"/>
      <c r="VE10" s="125"/>
      <c r="VF10" s="125"/>
      <c r="VG10" s="125"/>
      <c r="VH10" s="125"/>
      <c r="VI10" s="125"/>
      <c r="VJ10" s="125"/>
      <c r="VK10" s="125"/>
      <c r="VL10" s="125"/>
      <c r="VM10" s="125"/>
      <c r="VN10" s="125"/>
      <c r="VO10" s="125"/>
      <c r="VP10" s="125"/>
      <c r="VQ10" s="125"/>
      <c r="VR10" s="125"/>
      <c r="VS10" s="125"/>
      <c r="VT10" s="125"/>
      <c r="VU10" s="125"/>
      <c r="VV10" s="125"/>
      <c r="VW10" s="125"/>
      <c r="VX10" s="125"/>
      <c r="VY10" s="125"/>
      <c r="VZ10" s="125"/>
      <c r="WA10" s="125"/>
      <c r="WB10" s="125"/>
      <c r="WC10" s="125"/>
      <c r="WD10" s="125"/>
      <c r="WE10" s="125"/>
      <c r="WF10" s="125"/>
      <c r="WG10" s="125"/>
      <c r="WH10" s="125"/>
      <c r="WI10" s="125"/>
      <c r="WJ10" s="125"/>
      <c r="WK10" s="125"/>
      <c r="WL10" s="125"/>
      <c r="WM10" s="125"/>
      <c r="WN10" s="125"/>
      <c r="WO10" s="125"/>
      <c r="WP10" s="125"/>
      <c r="WQ10" s="125"/>
      <c r="WR10" s="125"/>
      <c r="WS10" s="125"/>
      <c r="WT10" s="125"/>
      <c r="WU10" s="125"/>
      <c r="WV10" s="125"/>
      <c r="WW10" s="125"/>
      <c r="WX10" s="125"/>
      <c r="WY10" s="125"/>
      <c r="WZ10" s="125"/>
      <c r="XA10" s="125"/>
      <c r="XB10" s="125"/>
      <c r="XC10" s="125"/>
      <c r="XD10" s="125"/>
      <c r="XE10" s="125"/>
      <c r="XF10" s="125"/>
      <c r="XG10" s="125"/>
      <c r="XH10" s="125"/>
      <c r="XI10" s="125"/>
      <c r="XJ10" s="125"/>
      <c r="XK10" s="125"/>
      <c r="XL10" s="125"/>
      <c r="XM10" s="125"/>
      <c r="XN10" s="125"/>
      <c r="XO10" s="125"/>
      <c r="XP10" s="125"/>
      <c r="XQ10" s="125"/>
      <c r="XR10" s="125"/>
      <c r="XS10" s="125"/>
      <c r="XT10" s="125"/>
      <c r="XU10" s="125"/>
      <c r="XV10" s="125"/>
      <c r="XW10" s="125"/>
      <c r="XX10" s="125"/>
      <c r="XY10" s="125"/>
      <c r="XZ10" s="125"/>
      <c r="YA10" s="125"/>
      <c r="YB10" s="125"/>
      <c r="YC10" s="125"/>
      <c r="YD10" s="125"/>
      <c r="YE10" s="125"/>
      <c r="YF10" s="125"/>
      <c r="YG10" s="125"/>
      <c r="YH10" s="125"/>
      <c r="YI10" s="125"/>
      <c r="YJ10" s="125"/>
      <c r="YK10" s="125"/>
      <c r="YL10" s="125"/>
      <c r="YM10" s="125"/>
      <c r="YN10" s="125"/>
      <c r="YO10" s="125"/>
      <c r="YP10" s="125"/>
      <c r="YQ10" s="125"/>
      <c r="YR10" s="125"/>
      <c r="YS10" s="125"/>
      <c r="YT10" s="125"/>
      <c r="YU10" s="125"/>
      <c r="YV10" s="125"/>
      <c r="YW10" s="125"/>
      <c r="YX10" s="125"/>
      <c r="YY10" s="125"/>
      <c r="YZ10" s="125"/>
      <c r="ZA10" s="125"/>
      <c r="ZB10" s="125"/>
      <c r="ZC10" s="125"/>
      <c r="ZD10" s="125"/>
      <c r="ZE10" s="125"/>
      <c r="ZF10" s="125"/>
      <c r="ZG10" s="125"/>
      <c r="ZH10" s="125"/>
      <c r="ZI10" s="125"/>
      <c r="ZJ10" s="125"/>
      <c r="ZK10" s="125"/>
      <c r="ZL10" s="125"/>
      <c r="ZM10" s="125"/>
      <c r="ZN10" s="125"/>
      <c r="ZO10" s="125"/>
      <c r="ZP10" s="125"/>
      <c r="ZQ10" s="125"/>
      <c r="ZR10" s="125"/>
      <c r="ZS10" s="125"/>
      <c r="ZT10" s="125"/>
      <c r="ZU10" s="125"/>
      <c r="ZV10" s="125"/>
      <c r="ZW10" s="125"/>
      <c r="ZX10" s="125"/>
      <c r="ZY10" s="125"/>
      <c r="ZZ10" s="125"/>
      <c r="AAA10" s="125"/>
      <c r="AAB10" s="125"/>
      <c r="AAC10" s="125"/>
      <c r="AAD10" s="125"/>
      <c r="AAE10" s="125"/>
      <c r="AAF10" s="125"/>
      <c r="AAG10" s="125"/>
      <c r="AAH10" s="125"/>
      <c r="AAI10" s="125"/>
      <c r="AAJ10" s="125"/>
      <c r="AAK10" s="125"/>
      <c r="AAL10" s="125"/>
      <c r="AAM10" s="125"/>
      <c r="AAN10" s="125"/>
      <c r="AAO10" s="125"/>
      <c r="AAP10" s="125"/>
      <c r="AAQ10" s="125"/>
      <c r="AAR10" s="125"/>
      <c r="AAS10" s="125"/>
      <c r="AAT10" s="125"/>
      <c r="AAU10" s="125"/>
      <c r="AAV10" s="125"/>
      <c r="AAW10" s="125"/>
      <c r="AAX10" s="125"/>
      <c r="AAY10" s="125"/>
      <c r="AAZ10" s="125"/>
      <c r="ABA10" s="125"/>
      <c r="ABB10" s="125"/>
      <c r="ABC10" s="125"/>
      <c r="ABD10" s="125"/>
      <c r="ABE10" s="125"/>
      <c r="ABF10" s="125"/>
      <c r="ABG10" s="125"/>
      <c r="ABH10" s="125"/>
      <c r="ABI10" s="125"/>
      <c r="ABJ10" s="125"/>
      <c r="ABK10" s="125"/>
      <c r="ABL10" s="125"/>
      <c r="ABM10" s="125"/>
      <c r="ABN10" s="125"/>
      <c r="ABO10" s="125"/>
      <c r="ABP10" s="125"/>
      <c r="ABQ10" s="125"/>
      <c r="ABR10" s="125"/>
      <c r="ABS10" s="125"/>
      <c r="ABT10" s="125"/>
      <c r="ABU10" s="125"/>
      <c r="ABV10" s="125"/>
      <c r="ABW10" s="125"/>
      <c r="ABX10" s="125"/>
      <c r="ABY10" s="125"/>
      <c r="ABZ10" s="125"/>
      <c r="ACA10" s="125"/>
      <c r="ACB10" s="125"/>
      <c r="ACC10" s="125"/>
      <c r="ACD10" s="125"/>
      <c r="ACE10" s="125"/>
      <c r="ACF10" s="125"/>
      <c r="ACG10" s="125"/>
      <c r="ACH10" s="125"/>
      <c r="ACI10" s="125"/>
      <c r="ACJ10" s="125"/>
      <c r="ACK10" s="125"/>
      <c r="ACL10" s="125"/>
      <c r="ACM10" s="125"/>
      <c r="ACN10" s="125"/>
      <c r="ACO10" s="125"/>
      <c r="ACP10" s="125"/>
      <c r="ACQ10" s="125"/>
      <c r="ACR10" s="125"/>
      <c r="ACS10" s="125"/>
      <c r="ACT10" s="125"/>
      <c r="ACU10" s="125"/>
      <c r="ACV10" s="125"/>
      <c r="ACW10" s="125"/>
      <c r="ACX10" s="125"/>
      <c r="ACY10" s="125"/>
      <c r="ACZ10" s="125"/>
      <c r="ADA10" s="125"/>
      <c r="ADB10" s="125"/>
      <c r="ADC10" s="125"/>
      <c r="ADD10" s="125"/>
      <c r="ADE10" s="125"/>
      <c r="ADF10" s="125"/>
      <c r="ADG10" s="125"/>
      <c r="ADH10" s="125"/>
      <c r="ADI10" s="125"/>
      <c r="ADJ10" s="125"/>
      <c r="ADK10" s="125"/>
      <c r="ADL10" s="125"/>
      <c r="ADM10" s="125"/>
      <c r="ADN10" s="125"/>
      <c r="ADO10" s="125"/>
      <c r="ADP10" s="125"/>
      <c r="ADQ10" s="125"/>
      <c r="ADR10" s="125"/>
      <c r="ADS10" s="125"/>
      <c r="ADT10" s="125"/>
      <c r="ADU10" s="125"/>
      <c r="ADV10" s="125"/>
      <c r="ADW10" s="125"/>
      <c r="ADX10" s="125"/>
      <c r="ADY10" s="125"/>
      <c r="ADZ10" s="125"/>
      <c r="AEA10" s="125"/>
      <c r="AEB10" s="125"/>
      <c r="AEC10" s="125"/>
      <c r="AED10" s="125"/>
      <c r="AEE10" s="125"/>
      <c r="AEF10" s="125"/>
      <c r="AEG10" s="125"/>
      <c r="AEH10" s="125"/>
      <c r="AEI10" s="125"/>
      <c r="AEJ10" s="125"/>
      <c r="AEK10" s="125"/>
      <c r="AEL10" s="125"/>
      <c r="AEM10" s="125"/>
      <c r="AEN10" s="125"/>
      <c r="AEO10" s="125"/>
      <c r="AEP10" s="125"/>
      <c r="AEQ10" s="125"/>
      <c r="AER10" s="125"/>
      <c r="AES10" s="125"/>
      <c r="AET10" s="125"/>
      <c r="AEU10" s="125"/>
      <c r="AEV10" s="125"/>
      <c r="AEW10" s="125"/>
      <c r="AEX10" s="125"/>
      <c r="AEY10" s="125"/>
      <c r="AEZ10" s="125"/>
      <c r="AFA10" s="125"/>
      <c r="AFB10" s="125"/>
      <c r="AFC10" s="125"/>
      <c r="AFD10" s="125"/>
      <c r="AFE10" s="125"/>
      <c r="AFF10" s="125"/>
      <c r="AFG10" s="125"/>
      <c r="AFH10" s="125"/>
      <c r="AFI10" s="125"/>
      <c r="AFJ10" s="125"/>
      <c r="AFK10" s="125"/>
      <c r="AFL10" s="125"/>
      <c r="AFM10" s="125"/>
      <c r="AFN10" s="125"/>
      <c r="AFO10" s="125"/>
      <c r="AFP10" s="125"/>
      <c r="AFQ10" s="125"/>
      <c r="AFR10" s="125"/>
      <c r="AFS10" s="125"/>
      <c r="AFT10" s="125"/>
      <c r="AFU10" s="125"/>
      <c r="AFV10" s="125"/>
      <c r="AFW10" s="125"/>
      <c r="AFX10" s="125"/>
      <c r="AFY10" s="125"/>
      <c r="AFZ10" s="125"/>
      <c r="AGA10" s="125"/>
      <c r="AGB10" s="125"/>
      <c r="AGC10" s="125"/>
      <c r="AGD10" s="125"/>
      <c r="AGE10" s="125"/>
      <c r="AGF10" s="125"/>
      <c r="AGG10" s="125"/>
      <c r="AGH10" s="125"/>
      <c r="AGI10" s="125"/>
      <c r="AGJ10" s="125"/>
      <c r="AGK10" s="125"/>
      <c r="AGL10" s="125"/>
      <c r="AGM10" s="125"/>
      <c r="AGN10" s="125"/>
      <c r="AGO10" s="125"/>
      <c r="AGP10" s="125"/>
      <c r="AGQ10" s="125"/>
      <c r="AGR10" s="125"/>
      <c r="AGS10" s="125"/>
      <c r="AGT10" s="125"/>
      <c r="AGU10" s="125"/>
      <c r="AGV10" s="125"/>
      <c r="AGW10" s="125"/>
      <c r="AGX10" s="125"/>
      <c r="AGY10" s="125"/>
      <c r="AGZ10" s="125"/>
      <c r="AHA10" s="125"/>
      <c r="AHB10" s="125"/>
      <c r="AHC10" s="125"/>
      <c r="AHD10" s="125"/>
      <c r="AHE10" s="125"/>
      <c r="AHF10" s="125"/>
      <c r="AHG10" s="125"/>
      <c r="AHH10" s="125"/>
      <c r="AHI10" s="125"/>
      <c r="AHJ10" s="125"/>
      <c r="AHK10" s="125"/>
      <c r="AHL10" s="125"/>
      <c r="AHM10" s="125"/>
      <c r="AHN10" s="125"/>
      <c r="AHO10" s="125"/>
      <c r="AHP10" s="125"/>
      <c r="AHQ10" s="125"/>
      <c r="AHR10" s="125"/>
      <c r="AHS10" s="125"/>
      <c r="AHT10" s="125"/>
      <c r="AHU10" s="125"/>
      <c r="AHV10" s="125"/>
      <c r="AHW10" s="125"/>
      <c r="AHX10" s="125"/>
      <c r="AHY10" s="125"/>
      <c r="AHZ10" s="125"/>
      <c r="AIA10" s="125"/>
      <c r="AIB10" s="125"/>
      <c r="AIC10" s="125"/>
      <c r="AID10" s="125"/>
      <c r="AIE10" s="125"/>
      <c r="AIF10" s="125"/>
      <c r="AIG10" s="125"/>
      <c r="AIH10" s="125"/>
      <c r="AII10" s="125"/>
      <c r="AIJ10" s="125"/>
      <c r="AIK10" s="125"/>
      <c r="AIL10" s="125"/>
      <c r="AIM10" s="125"/>
      <c r="AIN10" s="125"/>
      <c r="AIO10" s="125"/>
      <c r="AIP10" s="125"/>
      <c r="AIQ10" s="125"/>
      <c r="AIR10" s="125"/>
      <c r="AIS10" s="125"/>
      <c r="AIT10" s="125"/>
      <c r="AIU10" s="125"/>
      <c r="AIV10" s="125"/>
      <c r="AIW10" s="125"/>
      <c r="AIX10" s="125"/>
      <c r="AIY10" s="125"/>
      <c r="AIZ10" s="125"/>
      <c r="AJA10" s="125"/>
      <c r="AJB10" s="125"/>
      <c r="AJC10" s="125"/>
      <c r="AJD10" s="125"/>
      <c r="AJE10" s="125"/>
      <c r="AJF10" s="125"/>
      <c r="AJG10" s="125"/>
      <c r="AJH10" s="125"/>
      <c r="AJI10" s="125"/>
      <c r="AJJ10" s="125"/>
      <c r="AJK10" s="125"/>
      <c r="AJL10" s="125"/>
      <c r="AJM10" s="125"/>
      <c r="AJN10" s="125"/>
      <c r="AJO10" s="125"/>
      <c r="AJP10" s="125"/>
      <c r="AJQ10" s="125"/>
      <c r="AJR10" s="125"/>
      <c r="AJS10" s="125"/>
      <c r="AJT10" s="125"/>
      <c r="AJU10" s="125"/>
      <c r="AJV10" s="125"/>
      <c r="AJW10" s="125"/>
      <c r="AJX10" s="125"/>
      <c r="AJY10" s="125"/>
      <c r="AJZ10" s="125"/>
      <c r="AKA10" s="125"/>
      <c r="AKB10" s="125"/>
      <c r="AKC10" s="125"/>
      <c r="AKD10" s="125"/>
      <c r="AKE10" s="125"/>
      <c r="AKF10" s="125"/>
      <c r="AKG10" s="125"/>
      <c r="AKH10" s="125"/>
      <c r="AKI10" s="125"/>
      <c r="AKJ10" s="125"/>
      <c r="AKK10" s="125"/>
      <c r="AKL10" s="125"/>
      <c r="AKM10" s="125"/>
      <c r="AKN10" s="125"/>
      <c r="AKO10" s="125"/>
      <c r="AKP10" s="125"/>
      <c r="AKQ10" s="125"/>
      <c r="AKR10" s="125"/>
      <c r="AKS10" s="125"/>
      <c r="AKT10" s="125"/>
      <c r="AKU10" s="125"/>
      <c r="AKV10" s="125"/>
      <c r="AKW10" s="125"/>
      <c r="AKX10" s="125"/>
      <c r="AKY10" s="125"/>
      <c r="AKZ10" s="125"/>
      <c r="ALA10" s="125"/>
      <c r="ALB10" s="125"/>
      <c r="ALC10" s="125"/>
      <c r="ALD10" s="125"/>
      <c r="ALE10" s="125"/>
      <c r="ALF10" s="125"/>
      <c r="ALG10" s="125"/>
      <c r="ALH10" s="125"/>
      <c r="ALI10" s="125"/>
      <c r="ALJ10" s="125"/>
      <c r="ALK10" s="125"/>
      <c r="ALL10" s="125"/>
      <c r="ALM10" s="125"/>
      <c r="ALN10" s="125"/>
      <c r="ALO10" s="125"/>
      <c r="ALP10" s="125"/>
      <c r="ALQ10" s="125"/>
      <c r="ALR10" s="125"/>
      <c r="ALS10" s="125"/>
      <c r="ALT10" s="125"/>
      <c r="ALU10" s="125"/>
      <c r="ALV10" s="125"/>
      <c r="ALW10" s="125"/>
      <c r="ALX10" s="125"/>
      <c r="ALY10" s="125"/>
      <c r="ALZ10" s="125"/>
      <c r="AMA10" s="125"/>
      <c r="AMB10" s="125"/>
      <c r="AMC10" s="125"/>
      <c r="AMD10" s="125"/>
      <c r="AME10" s="125"/>
      <c r="AMF10" s="125"/>
      <c r="AMG10" s="125"/>
      <c r="AMH10" s="125"/>
      <c r="AMI10" s="125"/>
      <c r="AMJ10" s="125"/>
      <c r="AMK10" s="125"/>
      <c r="AML10" s="125"/>
      <c r="AMM10" s="125"/>
      <c r="AMN10" s="125"/>
      <c r="AMO10" s="125"/>
      <c r="AMP10" s="125"/>
      <c r="AMQ10" s="125"/>
      <c r="AMR10" s="125"/>
      <c r="AMS10" s="125"/>
      <c r="AMT10" s="125"/>
      <c r="AMU10" s="125"/>
      <c r="AMV10" s="125"/>
      <c r="AMW10" s="125"/>
      <c r="AMX10" s="125"/>
      <c r="AMY10" s="125"/>
      <c r="AMZ10" s="125"/>
      <c r="ANA10" s="125"/>
      <c r="ANB10" s="125"/>
      <c r="ANC10" s="125"/>
      <c r="AND10" s="125"/>
      <c r="ANE10" s="125"/>
      <c r="ANF10" s="125"/>
      <c r="ANG10" s="125"/>
      <c r="ANH10" s="125"/>
      <c r="ANI10" s="125"/>
      <c r="ANJ10" s="125"/>
      <c r="ANK10" s="125"/>
      <c r="ANL10" s="125"/>
      <c r="ANM10" s="125"/>
      <c r="ANN10" s="125"/>
      <c r="ANO10" s="125"/>
      <c r="ANP10" s="125"/>
      <c r="ANQ10" s="125"/>
      <c r="ANR10" s="125"/>
      <c r="ANS10" s="125"/>
      <c r="ANT10" s="125"/>
      <c r="ANU10" s="125"/>
      <c r="ANV10" s="125"/>
      <c r="ANW10" s="125"/>
      <c r="ANX10" s="125"/>
      <c r="ANY10" s="125"/>
      <c r="ANZ10" s="125"/>
      <c r="AOA10" s="125"/>
      <c r="AOB10" s="125"/>
      <c r="AOC10" s="125"/>
      <c r="AOD10" s="125"/>
      <c r="AOE10" s="125"/>
      <c r="AOF10" s="125"/>
      <c r="AOG10" s="125"/>
      <c r="AOH10" s="125"/>
      <c r="AOI10" s="125"/>
      <c r="AOJ10" s="125"/>
      <c r="AOK10" s="125"/>
      <c r="AOL10" s="125"/>
      <c r="AOM10" s="125"/>
      <c r="AON10" s="125"/>
      <c r="AOO10" s="125"/>
      <c r="AOP10" s="125"/>
      <c r="AOQ10" s="125"/>
      <c r="AOR10" s="125"/>
      <c r="AOS10" s="125"/>
      <c r="AOT10" s="125"/>
      <c r="AOU10" s="125"/>
      <c r="AOV10" s="125"/>
      <c r="AOW10" s="125"/>
      <c r="AOX10" s="125"/>
      <c r="AOY10" s="125"/>
      <c r="AOZ10" s="125"/>
      <c r="APA10" s="125"/>
      <c r="APB10" s="125"/>
      <c r="APC10" s="125"/>
      <c r="APD10" s="125"/>
      <c r="APE10" s="125"/>
      <c r="APF10" s="125"/>
      <c r="APG10" s="125"/>
      <c r="APH10" s="125"/>
      <c r="API10" s="125"/>
      <c r="APJ10" s="125"/>
      <c r="APK10" s="125"/>
      <c r="APL10" s="125"/>
      <c r="APM10" s="125"/>
      <c r="APN10" s="125"/>
      <c r="APO10" s="125"/>
      <c r="APP10" s="125"/>
      <c r="APQ10" s="125"/>
      <c r="APR10" s="125"/>
      <c r="APS10" s="125"/>
      <c r="APT10" s="125"/>
      <c r="APU10" s="125"/>
      <c r="APV10" s="125"/>
      <c r="APW10" s="125"/>
      <c r="APX10" s="125"/>
      <c r="APY10" s="125"/>
      <c r="APZ10" s="125"/>
      <c r="AQA10" s="125"/>
      <c r="AQB10" s="125"/>
      <c r="AQC10" s="125"/>
      <c r="AQD10" s="125"/>
      <c r="AQE10" s="125"/>
      <c r="AQF10" s="125"/>
      <c r="AQG10" s="125"/>
      <c r="AQH10" s="125"/>
      <c r="AQI10" s="125"/>
      <c r="AQJ10" s="125"/>
      <c r="AQK10" s="125"/>
      <c r="AQL10" s="125"/>
      <c r="AQM10" s="125"/>
      <c r="AQN10" s="125"/>
      <c r="AQO10" s="125"/>
      <c r="AQP10" s="125"/>
      <c r="AQQ10" s="125"/>
      <c r="AQR10" s="125"/>
      <c r="AQS10" s="125"/>
      <c r="AQT10" s="125"/>
      <c r="AQU10" s="125"/>
      <c r="AQV10" s="125"/>
      <c r="AQW10" s="125"/>
      <c r="AQX10" s="125"/>
      <c r="AQY10" s="125"/>
      <c r="AQZ10" s="125"/>
      <c r="ARA10" s="125"/>
      <c r="ARB10" s="125"/>
      <c r="ARC10" s="125"/>
      <c r="ARD10" s="125"/>
      <c r="ARE10" s="125"/>
      <c r="ARF10" s="125"/>
      <c r="ARG10" s="125"/>
      <c r="ARH10" s="125"/>
      <c r="ARI10" s="125"/>
      <c r="ARJ10" s="125"/>
      <c r="ARK10" s="125"/>
      <c r="ARL10" s="125"/>
      <c r="ARM10" s="125"/>
      <c r="ARN10" s="125"/>
      <c r="ARO10" s="125"/>
      <c r="ARP10" s="125"/>
      <c r="ARQ10" s="125"/>
      <c r="ARR10" s="125"/>
      <c r="ARS10" s="125"/>
      <c r="ART10" s="125"/>
      <c r="ARU10" s="125"/>
      <c r="ARV10" s="125"/>
      <c r="ARW10" s="125"/>
      <c r="ARX10" s="125"/>
      <c r="ARY10" s="125"/>
      <c r="ARZ10" s="125"/>
      <c r="ASA10" s="125"/>
      <c r="ASB10" s="125"/>
      <c r="ASC10" s="125"/>
      <c r="ASD10" s="125"/>
      <c r="ASE10" s="125"/>
      <c r="ASF10" s="125"/>
      <c r="ASG10" s="125"/>
      <c r="ASH10" s="125"/>
      <c r="ASI10" s="125"/>
      <c r="ASJ10" s="125"/>
      <c r="ASK10" s="125"/>
      <c r="ASL10" s="125"/>
      <c r="ASM10" s="125"/>
      <c r="ASN10" s="125"/>
      <c r="ASO10" s="125"/>
      <c r="ASP10" s="125"/>
      <c r="ASQ10" s="125"/>
      <c r="ASR10" s="125"/>
      <c r="ASS10" s="125"/>
      <c r="AST10" s="125"/>
      <c r="ASU10" s="125"/>
      <c r="ASV10" s="125"/>
      <c r="ASW10" s="125"/>
      <c r="ASX10" s="125"/>
      <c r="ASY10" s="125"/>
      <c r="ASZ10" s="125"/>
      <c r="ATA10" s="125"/>
      <c r="ATB10" s="125"/>
      <c r="ATC10" s="125"/>
      <c r="ATD10" s="125"/>
      <c r="ATE10" s="125"/>
      <c r="ATF10" s="125"/>
      <c r="ATG10" s="125"/>
      <c r="ATH10" s="125"/>
      <c r="ATI10" s="125"/>
      <c r="ATJ10" s="125"/>
      <c r="ATK10" s="125"/>
      <c r="ATL10" s="125"/>
      <c r="ATM10" s="125"/>
      <c r="ATN10" s="125"/>
      <c r="ATO10" s="125"/>
      <c r="ATP10" s="125"/>
      <c r="ATQ10" s="125"/>
      <c r="ATR10" s="125"/>
      <c r="ATS10" s="125"/>
      <c r="ATT10" s="125"/>
      <c r="ATU10" s="125"/>
      <c r="ATV10" s="125"/>
      <c r="ATW10" s="125"/>
      <c r="ATX10" s="125"/>
      <c r="ATY10" s="125"/>
      <c r="ATZ10" s="125"/>
      <c r="AUA10" s="125"/>
      <c r="AUB10" s="125"/>
      <c r="AUC10" s="125"/>
      <c r="AUD10" s="125"/>
      <c r="AUE10" s="125"/>
      <c r="AUF10" s="125"/>
      <c r="AUG10" s="125"/>
      <c r="AUH10" s="125"/>
      <c r="AUI10" s="125"/>
      <c r="AUJ10" s="125"/>
      <c r="AUK10" s="125"/>
      <c r="AUL10" s="125"/>
      <c r="AUM10" s="125"/>
      <c r="AUN10" s="125"/>
      <c r="AUO10" s="125"/>
      <c r="AUP10" s="125"/>
      <c r="AUQ10" s="125"/>
      <c r="AUR10" s="125"/>
      <c r="AUS10" s="125"/>
      <c r="AUT10" s="125"/>
      <c r="AUU10" s="125"/>
      <c r="AUV10" s="125"/>
      <c r="AUW10" s="125"/>
      <c r="AUX10" s="125"/>
      <c r="AUY10" s="125"/>
      <c r="AUZ10" s="125"/>
      <c r="AVA10" s="125"/>
      <c r="AVB10" s="125"/>
      <c r="AVC10" s="125"/>
      <c r="AVD10" s="125"/>
      <c r="AVE10" s="125"/>
      <c r="AVF10" s="125"/>
      <c r="AVG10" s="125"/>
      <c r="AVH10" s="125"/>
      <c r="AVI10" s="125"/>
      <c r="AVJ10" s="125"/>
      <c r="AVK10" s="125"/>
      <c r="AVL10" s="125"/>
      <c r="AVM10" s="125"/>
      <c r="AVN10" s="125"/>
      <c r="AVO10" s="125"/>
      <c r="AVP10" s="125"/>
      <c r="AVQ10" s="125"/>
      <c r="AVR10" s="125"/>
      <c r="AVS10" s="125"/>
      <c r="AVT10" s="125"/>
      <c r="AVU10" s="125"/>
      <c r="AVV10" s="125"/>
      <c r="AVW10" s="125"/>
      <c r="AVX10" s="125"/>
      <c r="AVY10" s="125"/>
      <c r="AVZ10" s="125"/>
      <c r="AWA10" s="125"/>
      <c r="AWB10" s="125"/>
      <c r="AWC10" s="125"/>
      <c r="AWD10" s="125"/>
      <c r="AWE10" s="125"/>
      <c r="AWF10" s="125"/>
      <c r="AWG10" s="125"/>
      <c r="AWH10" s="125"/>
      <c r="AWI10" s="125"/>
      <c r="AWJ10" s="125"/>
      <c r="AWK10" s="125"/>
      <c r="AWL10" s="125"/>
      <c r="AWM10" s="125"/>
      <c r="AWN10" s="125"/>
      <c r="AWO10" s="125"/>
      <c r="AWP10" s="125"/>
      <c r="AWQ10" s="125"/>
      <c r="AWR10" s="125"/>
      <c r="AWS10" s="125"/>
      <c r="AWT10" s="125"/>
      <c r="AWU10" s="125"/>
      <c r="AWV10" s="125"/>
      <c r="AWW10" s="125"/>
      <c r="AWX10" s="125"/>
      <c r="AWY10" s="125"/>
      <c r="AWZ10" s="125"/>
      <c r="AXA10" s="125"/>
      <c r="AXB10" s="125"/>
      <c r="AXC10" s="125"/>
      <c r="AXD10" s="125"/>
      <c r="AXE10" s="125"/>
      <c r="AXF10" s="125"/>
      <c r="AXG10" s="125"/>
      <c r="AXH10" s="125"/>
      <c r="AXI10" s="125"/>
      <c r="AXJ10" s="125"/>
      <c r="AXK10" s="125"/>
      <c r="AXL10" s="125"/>
      <c r="AXM10" s="125"/>
      <c r="AXN10" s="125"/>
      <c r="AXO10" s="125"/>
      <c r="AXP10" s="125"/>
      <c r="AXQ10" s="125"/>
      <c r="AXR10" s="125"/>
      <c r="AXS10" s="125"/>
      <c r="AXT10" s="125"/>
      <c r="AXU10" s="125"/>
      <c r="AXV10" s="125"/>
      <c r="AXW10" s="125"/>
      <c r="AXX10" s="125"/>
      <c r="AXY10" s="125"/>
      <c r="AXZ10" s="125"/>
      <c r="AYA10" s="125"/>
      <c r="AYB10" s="125"/>
      <c r="AYC10" s="125"/>
      <c r="AYD10" s="125"/>
      <c r="AYE10" s="125"/>
      <c r="AYF10" s="125"/>
      <c r="AYG10" s="125"/>
      <c r="AYH10" s="125"/>
      <c r="AYI10" s="125"/>
      <c r="AYJ10" s="125"/>
      <c r="AYK10" s="125"/>
      <c r="AYL10" s="125"/>
      <c r="AYM10" s="125"/>
      <c r="AYN10" s="125"/>
      <c r="AYO10" s="125"/>
      <c r="AYP10" s="125"/>
      <c r="AYQ10" s="125"/>
      <c r="AYR10" s="125"/>
      <c r="AYS10" s="125"/>
      <c r="AYT10" s="125"/>
      <c r="AYU10" s="125"/>
      <c r="AYV10" s="125"/>
      <c r="AYW10" s="125"/>
      <c r="AYX10" s="125"/>
      <c r="AYY10" s="125"/>
      <c r="AYZ10" s="125"/>
      <c r="AZA10" s="125"/>
      <c r="AZB10" s="125"/>
      <c r="AZC10" s="125"/>
      <c r="AZD10" s="125"/>
      <c r="AZE10" s="125"/>
      <c r="AZF10" s="125"/>
      <c r="AZG10" s="125"/>
      <c r="AZH10" s="125"/>
      <c r="AZI10" s="125"/>
      <c r="AZJ10" s="125"/>
      <c r="AZK10" s="125"/>
      <c r="AZL10" s="125"/>
      <c r="AZM10" s="125"/>
      <c r="AZN10" s="125"/>
      <c r="AZO10" s="125"/>
      <c r="AZP10" s="125"/>
      <c r="AZQ10" s="125"/>
      <c r="AZR10" s="125"/>
      <c r="AZS10" s="125"/>
      <c r="AZT10" s="125"/>
      <c r="AZU10" s="125"/>
      <c r="AZV10" s="125"/>
      <c r="AZW10" s="125"/>
      <c r="AZX10" s="125"/>
      <c r="AZY10" s="125"/>
      <c r="AZZ10" s="125"/>
      <c r="BAA10" s="125"/>
      <c r="BAB10" s="125"/>
      <c r="BAC10" s="125"/>
      <c r="BAD10" s="125"/>
      <c r="BAE10" s="125"/>
      <c r="BAF10" s="125"/>
      <c r="BAG10" s="125"/>
      <c r="BAH10" s="125"/>
      <c r="BAI10" s="125"/>
      <c r="BAJ10" s="125"/>
      <c r="BAK10" s="125"/>
      <c r="BAL10" s="125"/>
      <c r="BAM10" s="125"/>
      <c r="BAN10" s="125"/>
      <c r="BAO10" s="125"/>
      <c r="BAP10" s="125"/>
      <c r="BAQ10" s="125"/>
      <c r="BAR10" s="125"/>
      <c r="BAS10" s="125"/>
      <c r="BAT10" s="125"/>
      <c r="BAU10" s="125"/>
      <c r="BAV10" s="125"/>
      <c r="BAW10" s="125"/>
      <c r="BAX10" s="125"/>
      <c r="BAY10" s="125"/>
      <c r="BAZ10" s="125"/>
      <c r="BBA10" s="125"/>
      <c r="BBB10" s="125"/>
      <c r="BBC10" s="125"/>
      <c r="BBD10" s="125"/>
      <c r="BBE10" s="125"/>
      <c r="BBF10" s="125"/>
      <c r="BBG10" s="125"/>
      <c r="BBH10" s="125"/>
      <c r="BBI10" s="125"/>
      <c r="BBJ10" s="125"/>
      <c r="BBK10" s="125"/>
      <c r="BBL10" s="125"/>
      <c r="BBM10" s="125"/>
      <c r="BBN10" s="125"/>
      <c r="BBO10" s="125"/>
      <c r="BBP10" s="125"/>
      <c r="BBQ10" s="125"/>
      <c r="BBR10" s="125"/>
      <c r="BBS10" s="125"/>
      <c r="BBT10" s="125"/>
      <c r="BBU10" s="125"/>
      <c r="BBV10" s="125"/>
      <c r="BBW10" s="125"/>
      <c r="BBX10" s="125"/>
      <c r="BBY10" s="125"/>
      <c r="BBZ10" s="125"/>
      <c r="BCA10" s="125"/>
      <c r="BCB10" s="125"/>
      <c r="BCC10" s="125"/>
      <c r="BCD10" s="125"/>
      <c r="BCE10" s="125"/>
      <c r="BCF10" s="125"/>
      <c r="BCG10" s="125"/>
      <c r="BCH10" s="125"/>
      <c r="BCI10" s="125"/>
      <c r="BCJ10" s="125"/>
      <c r="BCK10" s="125"/>
      <c r="BCL10" s="125"/>
      <c r="BCM10" s="125"/>
      <c r="BCN10" s="125"/>
      <c r="BCO10" s="125"/>
      <c r="BCP10" s="125"/>
      <c r="BCQ10" s="125"/>
      <c r="BCR10" s="125"/>
      <c r="BCS10" s="125"/>
      <c r="BCT10" s="125"/>
      <c r="BCU10" s="125"/>
      <c r="BCV10" s="125"/>
      <c r="BCW10" s="125"/>
      <c r="BCX10" s="125"/>
      <c r="BCY10" s="125"/>
      <c r="BCZ10" s="125"/>
      <c r="BDA10" s="125"/>
      <c r="BDB10" s="125"/>
      <c r="BDC10" s="125"/>
      <c r="BDD10" s="125"/>
      <c r="BDE10" s="125"/>
      <c r="BDF10" s="125"/>
      <c r="BDG10" s="125"/>
      <c r="BDH10" s="125"/>
      <c r="BDI10" s="125"/>
      <c r="BDJ10" s="125"/>
      <c r="BDK10" s="125"/>
      <c r="BDL10" s="125"/>
      <c r="BDM10" s="125"/>
      <c r="BDN10" s="125"/>
      <c r="BDO10" s="125"/>
      <c r="BDP10" s="125"/>
      <c r="BDQ10" s="125"/>
      <c r="BDR10" s="125"/>
      <c r="BDS10" s="125"/>
      <c r="BDT10" s="125"/>
      <c r="BDU10" s="125"/>
      <c r="BDV10" s="125"/>
      <c r="BDW10" s="125"/>
      <c r="BDX10" s="125"/>
      <c r="BDY10" s="125"/>
      <c r="BDZ10" s="125"/>
      <c r="BEA10" s="125"/>
      <c r="BEB10" s="125"/>
      <c r="BEC10" s="125"/>
      <c r="BED10" s="125"/>
      <c r="BEE10" s="125"/>
      <c r="BEF10" s="125"/>
      <c r="BEG10" s="125"/>
      <c r="BEH10" s="125"/>
      <c r="BEI10" s="125"/>
      <c r="BEJ10" s="125"/>
      <c r="BEK10" s="125"/>
      <c r="BEL10" s="125"/>
      <c r="BEM10" s="125"/>
      <c r="BEN10" s="125"/>
      <c r="BEO10" s="125"/>
      <c r="BEP10" s="125"/>
      <c r="BEQ10" s="125"/>
      <c r="BER10" s="125"/>
      <c r="BES10" s="125"/>
      <c r="BET10" s="125"/>
      <c r="BEU10" s="125"/>
      <c r="BEV10" s="125"/>
      <c r="BEW10" s="125"/>
      <c r="BEX10" s="125"/>
      <c r="BEY10" s="125"/>
      <c r="BEZ10" s="125"/>
      <c r="BFA10" s="125"/>
      <c r="BFB10" s="125"/>
      <c r="BFC10" s="125"/>
      <c r="BFD10" s="125"/>
      <c r="BFE10" s="125"/>
      <c r="BFF10" s="125"/>
      <c r="BFG10" s="125"/>
      <c r="BFH10" s="125"/>
      <c r="BFI10" s="125"/>
      <c r="BFJ10" s="125"/>
      <c r="BFK10" s="125"/>
      <c r="BFL10" s="125"/>
      <c r="BFM10" s="125"/>
      <c r="BFN10" s="125"/>
      <c r="BFO10" s="125"/>
      <c r="BFP10" s="125"/>
      <c r="BFQ10" s="125"/>
      <c r="BFR10" s="125"/>
      <c r="BFS10" s="125"/>
      <c r="BFT10" s="125"/>
      <c r="BFU10" s="125"/>
      <c r="BFV10" s="125"/>
      <c r="BFW10" s="125"/>
      <c r="BFX10" s="125"/>
      <c r="BFY10" s="125"/>
      <c r="BFZ10" s="125"/>
      <c r="BGA10" s="125"/>
      <c r="BGB10" s="125"/>
      <c r="BGC10" s="125"/>
      <c r="BGD10" s="125"/>
      <c r="BGE10" s="125"/>
      <c r="BGF10" s="125"/>
      <c r="BGG10" s="125"/>
      <c r="BGH10" s="125"/>
      <c r="BGI10" s="125"/>
      <c r="BGJ10" s="125"/>
      <c r="BGK10" s="125"/>
      <c r="BGL10" s="125"/>
      <c r="BGM10" s="125"/>
      <c r="BGN10" s="125"/>
      <c r="BGO10" s="125"/>
      <c r="BGP10" s="125"/>
      <c r="BGQ10" s="125"/>
      <c r="BGR10" s="125"/>
      <c r="BGS10" s="125"/>
      <c r="BGT10" s="125"/>
      <c r="BGU10" s="125"/>
      <c r="BGV10" s="125"/>
      <c r="BGW10" s="125"/>
      <c r="BGX10" s="125"/>
      <c r="BGY10" s="125"/>
      <c r="BGZ10" s="125"/>
      <c r="BHA10" s="125"/>
      <c r="BHB10" s="125"/>
      <c r="BHC10" s="125"/>
      <c r="BHD10" s="125"/>
      <c r="BHE10" s="125"/>
      <c r="BHF10" s="125"/>
      <c r="BHG10" s="125"/>
      <c r="BHH10" s="125"/>
      <c r="BHI10" s="125"/>
      <c r="BHJ10" s="125"/>
      <c r="BHK10" s="125"/>
      <c r="BHL10" s="125"/>
      <c r="BHM10" s="125"/>
      <c r="BHN10" s="125"/>
      <c r="BHO10" s="125"/>
      <c r="BHP10" s="125"/>
      <c r="BHQ10" s="125"/>
      <c r="BHR10" s="125"/>
      <c r="BHS10" s="125"/>
      <c r="BHT10" s="125"/>
      <c r="BHU10" s="125"/>
      <c r="BHV10" s="125"/>
      <c r="BHW10" s="125"/>
      <c r="BHX10" s="125"/>
      <c r="BHY10" s="125"/>
      <c r="BHZ10" s="125"/>
      <c r="BIA10" s="125"/>
      <c r="BIB10" s="125"/>
      <c r="BIC10" s="125"/>
      <c r="BID10" s="125"/>
      <c r="BIE10" s="125"/>
      <c r="BIF10" s="125"/>
      <c r="BIG10" s="125"/>
      <c r="BIH10" s="125"/>
      <c r="BII10" s="125"/>
      <c r="BIJ10" s="125"/>
      <c r="BIK10" s="125"/>
      <c r="BIL10" s="125"/>
      <c r="BIM10" s="125"/>
      <c r="BIN10" s="125"/>
      <c r="BIO10" s="125"/>
      <c r="BIP10" s="125"/>
      <c r="BIQ10" s="125"/>
      <c r="BIR10" s="125"/>
      <c r="BIS10" s="125"/>
      <c r="BIT10" s="125"/>
      <c r="BIU10" s="125"/>
      <c r="BIV10" s="125"/>
      <c r="BIW10" s="125"/>
      <c r="BIX10" s="125"/>
      <c r="BIY10" s="125"/>
      <c r="BIZ10" s="125"/>
      <c r="BJA10" s="125"/>
      <c r="BJB10" s="125"/>
      <c r="BJC10" s="125"/>
      <c r="BJD10" s="125"/>
      <c r="BJE10" s="125"/>
      <c r="BJF10" s="125"/>
      <c r="BJG10" s="125"/>
      <c r="BJH10" s="125"/>
      <c r="BJI10" s="125"/>
      <c r="BJJ10" s="125"/>
      <c r="BJK10" s="125"/>
      <c r="BJL10" s="125"/>
      <c r="BJM10" s="125"/>
      <c r="BJN10" s="125"/>
      <c r="BJO10" s="125"/>
      <c r="BJP10" s="125"/>
      <c r="BJQ10" s="125"/>
      <c r="BJR10" s="125"/>
      <c r="BJS10" s="125"/>
      <c r="BJT10" s="125"/>
      <c r="BJU10" s="125"/>
      <c r="BJV10" s="125"/>
      <c r="BJW10" s="125"/>
      <c r="BJX10" s="125"/>
      <c r="BJY10" s="125"/>
      <c r="BJZ10" s="125"/>
      <c r="BKA10" s="125"/>
      <c r="BKB10" s="125"/>
      <c r="BKC10" s="125"/>
      <c r="BKD10" s="125"/>
      <c r="BKE10" s="125"/>
      <c r="BKF10" s="125"/>
      <c r="BKG10" s="125"/>
      <c r="BKH10" s="125"/>
      <c r="BKI10" s="125"/>
      <c r="BKJ10" s="125"/>
      <c r="BKK10" s="125"/>
      <c r="BKL10" s="125"/>
      <c r="BKM10" s="125"/>
      <c r="BKN10" s="125"/>
      <c r="BKO10" s="125"/>
      <c r="BKP10" s="125"/>
      <c r="BKQ10" s="125"/>
      <c r="BKR10" s="125"/>
      <c r="BKS10" s="125"/>
      <c r="BKT10" s="125"/>
      <c r="BKU10" s="125"/>
      <c r="BKV10" s="125"/>
      <c r="BKW10" s="125"/>
      <c r="BKX10" s="125"/>
      <c r="BKY10" s="125"/>
      <c r="BKZ10" s="125"/>
      <c r="BLA10" s="125"/>
      <c r="BLB10" s="125"/>
      <c r="BLC10" s="125"/>
      <c r="BLD10" s="125"/>
      <c r="BLE10" s="125"/>
      <c r="BLF10" s="125"/>
      <c r="BLG10" s="125"/>
      <c r="BLH10" s="125"/>
      <c r="BLI10" s="125"/>
      <c r="BLJ10" s="125"/>
      <c r="BLK10" s="125"/>
      <c r="BLL10" s="125"/>
      <c r="BLM10" s="125"/>
      <c r="BLN10" s="125"/>
      <c r="BLO10" s="125"/>
      <c r="BLP10" s="125"/>
      <c r="BLQ10" s="125"/>
      <c r="BLR10" s="125"/>
      <c r="BLS10" s="125"/>
      <c r="BLT10" s="125"/>
      <c r="BLU10" s="125"/>
      <c r="BLV10" s="125"/>
      <c r="BLW10" s="125"/>
      <c r="BLX10" s="125"/>
      <c r="BLY10" s="125"/>
      <c r="BLZ10" s="125"/>
      <c r="BMA10" s="125"/>
      <c r="BMB10" s="125"/>
      <c r="BMC10" s="125"/>
      <c r="BMD10" s="125"/>
      <c r="BME10" s="125"/>
      <c r="BMF10" s="125"/>
      <c r="BMG10" s="125"/>
      <c r="BMH10" s="125"/>
      <c r="BMI10" s="125"/>
      <c r="BMJ10" s="125"/>
      <c r="BMK10" s="125"/>
      <c r="BML10" s="125"/>
      <c r="BMM10" s="125"/>
      <c r="BMN10" s="125"/>
      <c r="BMO10" s="125"/>
      <c r="BMP10" s="125"/>
      <c r="BMQ10" s="125"/>
      <c r="BMR10" s="125"/>
      <c r="BMS10" s="125"/>
      <c r="BMT10" s="125"/>
      <c r="BMU10" s="125"/>
      <c r="BMV10" s="125"/>
      <c r="BMW10" s="125"/>
      <c r="BMX10" s="125"/>
      <c r="BMY10" s="125"/>
      <c r="BMZ10" s="125"/>
      <c r="BNA10" s="125"/>
      <c r="BNB10" s="125"/>
      <c r="BNC10" s="125"/>
      <c r="BND10" s="125"/>
      <c r="BNE10" s="125"/>
      <c r="BNF10" s="125"/>
      <c r="BNG10" s="125"/>
      <c r="BNH10" s="125"/>
      <c r="BNI10" s="125"/>
      <c r="BNJ10" s="125"/>
      <c r="BNK10" s="125"/>
      <c r="BNL10" s="125"/>
      <c r="BNM10" s="125"/>
      <c r="BNN10" s="125"/>
      <c r="BNO10" s="125"/>
      <c r="BNP10" s="125"/>
      <c r="BNQ10" s="125"/>
      <c r="BNR10" s="125"/>
      <c r="BNS10" s="125"/>
      <c r="BNT10" s="125"/>
      <c r="BNU10" s="125"/>
      <c r="BNV10" s="125"/>
      <c r="BNW10" s="125"/>
      <c r="BNX10" s="125"/>
      <c r="BNY10" s="125"/>
      <c r="BNZ10" s="125"/>
      <c r="BOA10" s="125"/>
      <c r="BOB10" s="125"/>
      <c r="BOC10" s="125"/>
      <c r="BOD10" s="125"/>
      <c r="BOE10" s="125"/>
      <c r="BOF10" s="125"/>
      <c r="BOG10" s="125"/>
      <c r="BOH10" s="125"/>
      <c r="BOI10" s="125"/>
      <c r="BOJ10" s="125"/>
      <c r="BOK10" s="125"/>
      <c r="BOL10" s="125"/>
      <c r="BOM10" s="125"/>
      <c r="BON10" s="125"/>
      <c r="BOO10" s="125"/>
      <c r="BOP10" s="125"/>
      <c r="BOQ10" s="125"/>
      <c r="BOR10" s="125"/>
      <c r="BOS10" s="125"/>
      <c r="BOT10" s="125"/>
      <c r="BOU10" s="125"/>
      <c r="BOV10" s="125"/>
      <c r="BOW10" s="125"/>
      <c r="BOX10" s="125"/>
      <c r="BOY10" s="125"/>
      <c r="BOZ10" s="125"/>
      <c r="BPA10" s="125"/>
      <c r="BPB10" s="125"/>
      <c r="BPC10" s="125"/>
      <c r="BPD10" s="125"/>
      <c r="BPE10" s="125"/>
      <c r="BPF10" s="125"/>
      <c r="BPG10" s="125"/>
      <c r="BPH10" s="125"/>
      <c r="BPI10" s="125"/>
      <c r="BPJ10" s="125"/>
      <c r="BPK10" s="125"/>
      <c r="BPL10" s="125"/>
      <c r="BPM10" s="125"/>
      <c r="BPN10" s="125"/>
      <c r="BPO10" s="125"/>
      <c r="BPP10" s="125"/>
      <c r="BPQ10" s="125"/>
      <c r="BPR10" s="125"/>
      <c r="BPS10" s="125"/>
      <c r="BPT10" s="125"/>
      <c r="BPU10" s="125"/>
      <c r="BPV10" s="125"/>
      <c r="BPW10" s="125"/>
      <c r="BPX10" s="125"/>
      <c r="BPY10" s="125"/>
      <c r="BPZ10" s="125"/>
      <c r="BQA10" s="125"/>
      <c r="BQB10" s="125"/>
      <c r="BQC10" s="125"/>
      <c r="BQD10" s="125"/>
      <c r="BQE10" s="125"/>
      <c r="BQF10" s="125"/>
      <c r="BQG10" s="125"/>
      <c r="BQH10" s="125"/>
      <c r="BQI10" s="125"/>
      <c r="BQJ10" s="125"/>
      <c r="BQK10" s="125"/>
      <c r="BQL10" s="125"/>
      <c r="BQM10" s="125"/>
      <c r="BQN10" s="125"/>
      <c r="BQO10" s="125"/>
      <c r="BQP10" s="125"/>
      <c r="BQQ10" s="125"/>
      <c r="BQR10" s="125"/>
      <c r="BQS10" s="125"/>
      <c r="BQT10" s="125"/>
      <c r="BQU10" s="125"/>
      <c r="BQV10" s="125"/>
      <c r="BQW10" s="125"/>
      <c r="BQX10" s="125"/>
      <c r="BQY10" s="125"/>
      <c r="BQZ10" s="125"/>
      <c r="BRA10" s="125"/>
      <c r="BRB10" s="125"/>
      <c r="BRC10" s="125"/>
      <c r="BRD10" s="125"/>
      <c r="BRE10" s="125"/>
      <c r="BRF10" s="125"/>
      <c r="BRG10" s="125"/>
      <c r="BRH10" s="125"/>
      <c r="BRI10" s="125"/>
      <c r="BRJ10" s="125"/>
      <c r="BRK10" s="125"/>
      <c r="BRL10" s="125"/>
      <c r="BRM10" s="125"/>
      <c r="BRN10" s="125"/>
      <c r="BRO10" s="125"/>
      <c r="BRP10" s="125"/>
      <c r="BRQ10" s="125"/>
      <c r="BRR10" s="125"/>
      <c r="BRS10" s="125"/>
      <c r="BRT10" s="125"/>
      <c r="BRU10" s="125"/>
      <c r="BRV10" s="125"/>
      <c r="BRW10" s="125"/>
      <c r="BRX10" s="125"/>
      <c r="BRY10" s="125"/>
      <c r="BRZ10" s="125"/>
      <c r="BSA10" s="125"/>
      <c r="BSB10" s="125"/>
      <c r="BSC10" s="125"/>
      <c r="BSD10" s="125"/>
      <c r="BSE10" s="125"/>
      <c r="BSF10" s="125"/>
      <c r="BSG10" s="125"/>
      <c r="BSH10" s="125"/>
      <c r="BSI10" s="125"/>
      <c r="BSJ10" s="125"/>
      <c r="BSK10" s="125"/>
      <c r="BSL10" s="125"/>
      <c r="BSM10" s="125"/>
      <c r="BSN10" s="125"/>
      <c r="BSO10" s="125"/>
      <c r="BSP10" s="125"/>
      <c r="BSQ10" s="125"/>
      <c r="BSR10" s="125"/>
      <c r="BSS10" s="125"/>
      <c r="BST10" s="125"/>
      <c r="BSU10" s="125"/>
      <c r="BSV10" s="125"/>
      <c r="BSW10" s="125"/>
      <c r="BSX10" s="125"/>
      <c r="BSY10" s="125"/>
      <c r="BSZ10" s="125"/>
      <c r="BTA10" s="125"/>
      <c r="BTB10" s="125"/>
      <c r="BTC10" s="125"/>
      <c r="BTD10" s="125"/>
      <c r="BTE10" s="125"/>
      <c r="BTF10" s="125"/>
      <c r="BTG10" s="125"/>
      <c r="BTH10" s="125"/>
      <c r="BTI10" s="125"/>
      <c r="BTJ10" s="125"/>
      <c r="BTK10" s="125"/>
      <c r="BTL10" s="125"/>
      <c r="BTM10" s="125"/>
      <c r="BTN10" s="125"/>
      <c r="BTO10" s="125"/>
      <c r="BTP10" s="125"/>
      <c r="BTQ10" s="125"/>
      <c r="BTR10" s="125"/>
      <c r="BTS10" s="125"/>
      <c r="BTT10" s="125"/>
      <c r="BTU10" s="125"/>
      <c r="BTV10" s="125"/>
      <c r="BTW10" s="125"/>
      <c r="BTX10" s="125"/>
      <c r="BTY10" s="125"/>
      <c r="BTZ10" s="125"/>
      <c r="BUA10" s="125"/>
      <c r="BUB10" s="125"/>
      <c r="BUC10" s="125"/>
      <c r="BUD10" s="125"/>
      <c r="BUE10" s="125"/>
      <c r="BUF10" s="125"/>
      <c r="BUG10" s="125"/>
      <c r="BUH10" s="125"/>
      <c r="BUI10" s="125"/>
      <c r="BUJ10" s="125"/>
      <c r="BUK10" s="125"/>
      <c r="BUL10" s="125"/>
      <c r="BUM10" s="125"/>
      <c r="BUN10" s="125"/>
      <c r="BUO10" s="125"/>
      <c r="BUP10" s="125"/>
      <c r="BUQ10" s="125"/>
      <c r="BUR10" s="125"/>
      <c r="BUS10" s="125"/>
      <c r="BUT10" s="125"/>
      <c r="BUU10" s="125"/>
      <c r="BUV10" s="125"/>
      <c r="BUW10" s="125"/>
      <c r="BUX10" s="125"/>
      <c r="BUY10" s="125"/>
      <c r="BUZ10" s="125"/>
      <c r="BVA10" s="125"/>
      <c r="BVB10" s="125"/>
      <c r="BVC10" s="125"/>
      <c r="BVD10" s="125"/>
      <c r="BVE10" s="125"/>
      <c r="BVF10" s="125"/>
      <c r="BVG10" s="125"/>
      <c r="BVH10" s="125"/>
      <c r="BVI10" s="125"/>
      <c r="BVJ10" s="125"/>
      <c r="BVK10" s="125"/>
      <c r="BVL10" s="125"/>
      <c r="BVM10" s="125"/>
      <c r="BVN10" s="125"/>
      <c r="BVO10" s="125"/>
      <c r="BVP10" s="125"/>
      <c r="BVQ10" s="125"/>
      <c r="BVR10" s="125"/>
      <c r="BVS10" s="125"/>
      <c r="BVT10" s="125"/>
      <c r="BVU10" s="125"/>
      <c r="BVV10" s="125"/>
      <c r="BVW10" s="125"/>
      <c r="BVX10" s="125"/>
      <c r="BVY10" s="125"/>
      <c r="BVZ10" s="125"/>
      <c r="BWA10" s="125"/>
      <c r="BWB10" s="125"/>
      <c r="BWC10" s="125"/>
      <c r="BWD10" s="125"/>
      <c r="BWE10" s="125"/>
      <c r="BWF10" s="125"/>
      <c r="BWG10" s="125"/>
      <c r="BWH10" s="125"/>
      <c r="BWI10" s="125"/>
      <c r="BWJ10" s="125"/>
      <c r="BWK10" s="125"/>
      <c r="BWL10" s="125"/>
      <c r="BWM10" s="125"/>
      <c r="BWN10" s="125"/>
      <c r="BWO10" s="125"/>
      <c r="BWP10" s="125"/>
      <c r="BWQ10" s="125"/>
      <c r="BWR10" s="125"/>
      <c r="BWS10" s="125"/>
      <c r="BWT10" s="125"/>
      <c r="BWU10" s="125"/>
      <c r="BWV10" s="125"/>
      <c r="BWW10" s="125"/>
      <c r="BWX10" s="125"/>
      <c r="BWY10" s="125"/>
      <c r="BWZ10" s="125"/>
      <c r="BXA10" s="125"/>
      <c r="BXB10" s="125"/>
      <c r="BXC10" s="125"/>
      <c r="BXD10" s="125"/>
      <c r="BXE10" s="125"/>
      <c r="BXF10" s="125"/>
      <c r="BXG10" s="125"/>
      <c r="BXH10" s="125"/>
      <c r="BXI10" s="125"/>
      <c r="BXJ10" s="125"/>
      <c r="BXK10" s="125"/>
      <c r="BXL10" s="125"/>
      <c r="BXM10" s="125"/>
      <c r="BXN10" s="125"/>
      <c r="BXO10" s="125"/>
      <c r="BXP10" s="125"/>
      <c r="BXQ10" s="125"/>
      <c r="BXR10" s="125"/>
      <c r="BXS10" s="125"/>
      <c r="BXT10" s="125"/>
      <c r="BXU10" s="125"/>
      <c r="BXV10" s="125"/>
      <c r="BXW10" s="125"/>
      <c r="BXX10" s="125"/>
      <c r="BXY10" s="125"/>
      <c r="BXZ10" s="125"/>
      <c r="BYA10" s="125"/>
      <c r="BYB10" s="125"/>
      <c r="BYC10" s="125"/>
      <c r="BYD10" s="125"/>
      <c r="BYE10" s="125"/>
      <c r="BYF10" s="125"/>
      <c r="BYG10" s="125"/>
      <c r="BYH10" s="125"/>
      <c r="BYI10" s="125"/>
      <c r="BYJ10" s="125"/>
      <c r="BYK10" s="125"/>
      <c r="BYL10" s="125"/>
      <c r="BYM10" s="125"/>
      <c r="BYN10" s="125"/>
      <c r="BYO10" s="125"/>
      <c r="BYP10" s="125"/>
      <c r="BYQ10" s="125"/>
      <c r="BYR10" s="125"/>
      <c r="BYS10" s="125"/>
      <c r="BYT10" s="125"/>
      <c r="BYU10" s="125"/>
      <c r="BYV10" s="125"/>
      <c r="BYW10" s="125"/>
      <c r="BYX10" s="125"/>
      <c r="BYY10" s="125"/>
      <c r="BYZ10" s="125"/>
      <c r="BZA10" s="125"/>
      <c r="BZB10" s="125"/>
      <c r="BZC10" s="125"/>
      <c r="BZD10" s="125"/>
      <c r="BZE10" s="125"/>
      <c r="BZF10" s="125"/>
      <c r="BZG10" s="125"/>
      <c r="BZH10" s="125"/>
      <c r="BZI10" s="125"/>
      <c r="BZJ10" s="125"/>
      <c r="BZK10" s="125"/>
      <c r="BZL10" s="125"/>
      <c r="BZM10" s="125"/>
      <c r="BZN10" s="125"/>
      <c r="BZO10" s="125"/>
      <c r="BZP10" s="125"/>
      <c r="BZQ10" s="125"/>
      <c r="BZR10" s="125"/>
      <c r="BZS10" s="125"/>
      <c r="BZT10" s="125"/>
      <c r="BZU10" s="125"/>
      <c r="BZV10" s="125"/>
      <c r="BZW10" s="125"/>
      <c r="BZX10" s="125"/>
      <c r="BZY10" s="125"/>
      <c r="BZZ10" s="125"/>
      <c r="CAA10" s="125"/>
      <c r="CAB10" s="125"/>
      <c r="CAC10" s="125"/>
      <c r="CAD10" s="125"/>
      <c r="CAE10" s="125"/>
      <c r="CAF10" s="125"/>
      <c r="CAG10" s="125"/>
      <c r="CAH10" s="125"/>
      <c r="CAI10" s="125"/>
      <c r="CAJ10" s="125"/>
      <c r="CAK10" s="125"/>
      <c r="CAL10" s="125"/>
      <c r="CAM10" s="125"/>
      <c r="CAN10" s="125"/>
      <c r="CAO10" s="125"/>
      <c r="CAP10" s="125"/>
      <c r="CAQ10" s="125"/>
      <c r="CAR10" s="125"/>
      <c r="CAS10" s="125"/>
      <c r="CAT10" s="125"/>
      <c r="CAU10" s="125"/>
      <c r="CAV10" s="125"/>
      <c r="CAW10" s="125"/>
      <c r="CAX10" s="125"/>
      <c r="CAY10" s="125"/>
      <c r="CAZ10" s="125"/>
      <c r="CBA10" s="125"/>
      <c r="CBB10" s="125"/>
      <c r="CBC10" s="125"/>
      <c r="CBD10" s="125"/>
      <c r="CBE10" s="125"/>
      <c r="CBF10" s="125"/>
      <c r="CBG10" s="125"/>
      <c r="CBH10" s="125"/>
      <c r="CBI10" s="125"/>
      <c r="CBJ10" s="125"/>
      <c r="CBK10" s="125"/>
      <c r="CBL10" s="125"/>
      <c r="CBM10" s="125"/>
      <c r="CBN10" s="125"/>
      <c r="CBO10" s="125"/>
      <c r="CBP10" s="125"/>
      <c r="CBQ10" s="125"/>
      <c r="CBR10" s="125"/>
      <c r="CBS10" s="125"/>
      <c r="CBT10" s="125"/>
      <c r="CBU10" s="125"/>
      <c r="CBV10" s="125"/>
      <c r="CBW10" s="125"/>
      <c r="CBX10" s="125"/>
      <c r="CBY10" s="125"/>
      <c r="CBZ10" s="125"/>
      <c r="CCA10" s="125"/>
      <c r="CCB10" s="125"/>
      <c r="CCC10" s="125"/>
      <c r="CCD10" s="125"/>
      <c r="CCE10" s="125"/>
      <c r="CCF10" s="125"/>
      <c r="CCG10" s="125"/>
      <c r="CCH10" s="125"/>
      <c r="CCI10" s="125"/>
      <c r="CCJ10" s="125"/>
      <c r="CCK10" s="125"/>
      <c r="CCL10" s="125"/>
      <c r="CCM10" s="125"/>
      <c r="CCN10" s="125"/>
      <c r="CCO10" s="125"/>
      <c r="CCP10" s="125"/>
      <c r="CCQ10" s="125"/>
      <c r="CCR10" s="125"/>
      <c r="CCS10" s="125"/>
      <c r="CCT10" s="125"/>
      <c r="CCU10" s="125"/>
      <c r="CCV10" s="125"/>
      <c r="CCW10" s="125"/>
      <c r="CCX10" s="125"/>
      <c r="CCY10" s="125"/>
      <c r="CCZ10" s="125"/>
      <c r="CDA10" s="125"/>
      <c r="CDB10" s="125"/>
      <c r="CDC10" s="125"/>
      <c r="CDD10" s="125"/>
      <c r="CDE10" s="125"/>
      <c r="CDF10" s="125"/>
      <c r="CDG10" s="125"/>
      <c r="CDH10" s="125"/>
      <c r="CDI10" s="125"/>
      <c r="CDJ10" s="125"/>
      <c r="CDK10" s="125"/>
      <c r="CDL10" s="125"/>
      <c r="CDM10" s="125"/>
      <c r="CDN10" s="125"/>
      <c r="CDO10" s="125"/>
      <c r="CDP10" s="125"/>
      <c r="CDQ10" s="125"/>
      <c r="CDR10" s="125"/>
      <c r="CDS10" s="125"/>
      <c r="CDT10" s="125"/>
      <c r="CDU10" s="125"/>
      <c r="CDV10" s="125"/>
      <c r="CDW10" s="125"/>
      <c r="CDX10" s="125"/>
      <c r="CDY10" s="125"/>
      <c r="CDZ10" s="125"/>
      <c r="CEA10" s="125"/>
      <c r="CEB10" s="125"/>
      <c r="CEC10" s="125"/>
      <c r="CED10" s="125"/>
      <c r="CEE10" s="125"/>
      <c r="CEF10" s="125"/>
      <c r="CEG10" s="125"/>
      <c r="CEH10" s="125"/>
      <c r="CEI10" s="125"/>
      <c r="CEJ10" s="125"/>
      <c r="CEK10" s="125"/>
      <c r="CEL10" s="125"/>
      <c r="CEM10" s="125"/>
      <c r="CEN10" s="125"/>
      <c r="CEO10" s="125"/>
      <c r="CEP10" s="125"/>
      <c r="CEQ10" s="125"/>
      <c r="CER10" s="125"/>
      <c r="CES10" s="125"/>
      <c r="CET10" s="125"/>
      <c r="CEU10" s="125"/>
      <c r="CEV10" s="125"/>
      <c r="CEW10" s="125"/>
      <c r="CEX10" s="125"/>
      <c r="CEY10" s="125"/>
      <c r="CEZ10" s="125"/>
      <c r="CFA10" s="125"/>
      <c r="CFB10" s="125"/>
      <c r="CFC10" s="125"/>
      <c r="CFD10" s="125"/>
      <c r="CFE10" s="125"/>
      <c r="CFF10" s="125"/>
      <c r="CFG10" s="125"/>
      <c r="CFH10" s="125"/>
      <c r="CFI10" s="125"/>
      <c r="CFJ10" s="125"/>
      <c r="CFK10" s="125"/>
      <c r="CFL10" s="125"/>
      <c r="CFM10" s="125"/>
      <c r="CFN10" s="125"/>
      <c r="CFO10" s="125"/>
      <c r="CFP10" s="125"/>
      <c r="CFQ10" s="125"/>
      <c r="CFR10" s="125"/>
      <c r="CFS10" s="125"/>
      <c r="CFT10" s="125"/>
      <c r="CFU10" s="125"/>
      <c r="CFV10" s="125"/>
      <c r="CFW10" s="125"/>
      <c r="CFX10" s="125"/>
      <c r="CFY10" s="125"/>
      <c r="CFZ10" s="125"/>
      <c r="CGA10" s="125"/>
      <c r="CGB10" s="125"/>
      <c r="CGC10" s="125"/>
      <c r="CGD10" s="125"/>
      <c r="CGE10" s="125"/>
      <c r="CGF10" s="125"/>
      <c r="CGG10" s="125"/>
      <c r="CGH10" s="125"/>
      <c r="CGI10" s="125"/>
      <c r="CGJ10" s="125"/>
      <c r="CGK10" s="125"/>
      <c r="CGL10" s="125"/>
      <c r="CGM10" s="125"/>
      <c r="CGN10" s="125"/>
      <c r="CGO10" s="125"/>
      <c r="CGP10" s="125"/>
      <c r="CGQ10" s="125"/>
      <c r="CGR10" s="125"/>
      <c r="CGS10" s="125"/>
      <c r="CGT10" s="125"/>
      <c r="CGU10" s="125"/>
      <c r="CGV10" s="125"/>
      <c r="CGW10" s="125"/>
      <c r="CGX10" s="125"/>
      <c r="CGY10" s="125"/>
      <c r="CGZ10" s="125"/>
      <c r="CHA10" s="125"/>
      <c r="CHB10" s="125"/>
      <c r="CHC10" s="125"/>
      <c r="CHD10" s="125"/>
      <c r="CHE10" s="125"/>
      <c r="CHF10" s="125"/>
      <c r="CHG10" s="125"/>
      <c r="CHH10" s="125"/>
      <c r="CHI10" s="125"/>
      <c r="CHJ10" s="125"/>
      <c r="CHK10" s="125"/>
      <c r="CHL10" s="125"/>
      <c r="CHM10" s="125"/>
      <c r="CHN10" s="125"/>
      <c r="CHO10" s="125"/>
      <c r="CHP10" s="125"/>
      <c r="CHQ10" s="125"/>
      <c r="CHR10" s="125"/>
      <c r="CHS10" s="125"/>
      <c r="CHT10" s="125"/>
      <c r="CHU10" s="125"/>
      <c r="CHV10" s="125"/>
      <c r="CHW10" s="125"/>
      <c r="CHX10" s="125"/>
      <c r="CHY10" s="125"/>
      <c r="CHZ10" s="125"/>
      <c r="CIA10" s="125"/>
      <c r="CIB10" s="125"/>
      <c r="CIC10" s="125"/>
      <c r="CID10" s="125"/>
      <c r="CIE10" s="125"/>
      <c r="CIF10" s="125"/>
      <c r="CIG10" s="125"/>
      <c r="CIH10" s="125"/>
      <c r="CII10" s="125"/>
      <c r="CIJ10" s="125"/>
      <c r="CIK10" s="125"/>
      <c r="CIL10" s="125"/>
      <c r="CIM10" s="125"/>
      <c r="CIN10" s="125"/>
      <c r="CIO10" s="125"/>
      <c r="CIP10" s="125"/>
      <c r="CIQ10" s="125"/>
      <c r="CIR10" s="125"/>
      <c r="CIS10" s="125"/>
      <c r="CIT10" s="125"/>
      <c r="CIU10" s="125"/>
      <c r="CIV10" s="125"/>
      <c r="CIW10" s="125"/>
      <c r="CIX10" s="125"/>
      <c r="CIY10" s="125"/>
      <c r="CIZ10" s="125"/>
      <c r="CJA10" s="125"/>
      <c r="CJB10" s="125"/>
      <c r="CJC10" s="125"/>
      <c r="CJD10" s="125"/>
      <c r="CJE10" s="125"/>
      <c r="CJF10" s="125"/>
      <c r="CJG10" s="125"/>
      <c r="CJH10" s="125"/>
      <c r="CJI10" s="125"/>
      <c r="CJJ10" s="125"/>
      <c r="CJK10" s="125"/>
      <c r="CJL10" s="125"/>
      <c r="CJM10" s="125"/>
      <c r="CJN10" s="125"/>
      <c r="CJO10" s="125"/>
      <c r="CJP10" s="125"/>
      <c r="CJQ10" s="125"/>
      <c r="CJR10" s="125"/>
      <c r="CJS10" s="125"/>
      <c r="CJT10" s="125"/>
      <c r="CJU10" s="125"/>
      <c r="CJV10" s="125"/>
      <c r="CJW10" s="125"/>
      <c r="CJX10" s="125"/>
      <c r="CJY10" s="125"/>
      <c r="CJZ10" s="125"/>
      <c r="CKA10" s="125"/>
      <c r="CKB10" s="125"/>
      <c r="CKC10" s="125"/>
      <c r="CKD10" s="125"/>
      <c r="CKE10" s="125"/>
      <c r="CKF10" s="125"/>
      <c r="CKG10" s="125"/>
      <c r="CKH10" s="125"/>
      <c r="CKI10" s="125"/>
      <c r="CKJ10" s="125"/>
      <c r="CKK10" s="125"/>
      <c r="CKL10" s="125"/>
      <c r="CKM10" s="125"/>
      <c r="CKN10" s="125"/>
      <c r="CKO10" s="125"/>
      <c r="CKP10" s="125"/>
      <c r="CKQ10" s="125"/>
      <c r="CKR10" s="125"/>
      <c r="CKS10" s="125"/>
      <c r="CKT10" s="125"/>
      <c r="CKU10" s="125"/>
      <c r="CKV10" s="125"/>
      <c r="CKW10" s="125"/>
      <c r="CKX10" s="125"/>
      <c r="CKY10" s="125"/>
      <c r="CKZ10" s="125"/>
      <c r="CLA10" s="125"/>
      <c r="CLB10" s="125"/>
      <c r="CLC10" s="125"/>
      <c r="CLD10" s="125"/>
      <c r="CLE10" s="125"/>
      <c r="CLF10" s="125"/>
      <c r="CLG10" s="125"/>
      <c r="CLH10" s="125"/>
      <c r="CLI10" s="125"/>
      <c r="CLJ10" s="125"/>
      <c r="CLK10" s="125"/>
      <c r="CLL10" s="125"/>
      <c r="CLM10" s="125"/>
      <c r="CLN10" s="125"/>
      <c r="CLO10" s="125"/>
      <c r="CLP10" s="125"/>
      <c r="CLQ10" s="125"/>
      <c r="CLR10" s="125"/>
      <c r="CLS10" s="125"/>
      <c r="CLT10" s="125"/>
      <c r="CLU10" s="125"/>
      <c r="CLV10" s="125"/>
      <c r="CLW10" s="125"/>
      <c r="CLX10" s="125"/>
      <c r="CLY10" s="125"/>
      <c r="CLZ10" s="125"/>
      <c r="CMA10" s="125"/>
      <c r="CMB10" s="125"/>
      <c r="CMC10" s="125"/>
      <c r="CMD10" s="125"/>
      <c r="CME10" s="125"/>
      <c r="CMF10" s="125"/>
      <c r="CMG10" s="125"/>
      <c r="CMH10" s="125"/>
      <c r="CMI10" s="125"/>
      <c r="CMJ10" s="125"/>
      <c r="CMK10" s="125"/>
      <c r="CML10" s="125"/>
      <c r="CMM10" s="125"/>
      <c r="CMN10" s="125"/>
      <c r="CMO10" s="125"/>
      <c r="CMP10" s="125"/>
      <c r="CMQ10" s="125"/>
      <c r="CMR10" s="125"/>
      <c r="CMS10" s="125"/>
      <c r="CMT10" s="125"/>
      <c r="CMU10" s="125"/>
      <c r="CMV10" s="125"/>
      <c r="CMW10" s="125"/>
      <c r="CMX10" s="125"/>
      <c r="CMY10" s="125"/>
      <c r="CMZ10" s="125"/>
      <c r="CNA10" s="125"/>
      <c r="CNB10" s="125"/>
      <c r="CNC10" s="125"/>
      <c r="CND10" s="125"/>
      <c r="CNE10" s="125"/>
      <c r="CNF10" s="125"/>
      <c r="CNG10" s="125"/>
      <c r="CNH10" s="125"/>
      <c r="CNI10" s="125"/>
      <c r="CNJ10" s="125"/>
      <c r="CNK10" s="125"/>
      <c r="CNL10" s="125"/>
      <c r="CNM10" s="125"/>
      <c r="CNN10" s="125"/>
      <c r="CNO10" s="125"/>
      <c r="CNP10" s="125"/>
      <c r="CNQ10" s="125"/>
      <c r="CNR10" s="125"/>
      <c r="CNS10" s="125"/>
      <c r="CNT10" s="125"/>
      <c r="CNU10" s="125"/>
      <c r="CNV10" s="125"/>
      <c r="CNW10" s="125"/>
      <c r="CNX10" s="125"/>
      <c r="CNY10" s="125"/>
      <c r="CNZ10" s="125"/>
      <c r="COA10" s="125"/>
      <c r="COB10" s="125"/>
      <c r="COC10" s="125"/>
      <c r="COD10" s="125"/>
      <c r="COE10" s="125"/>
      <c r="COF10" s="125"/>
      <c r="COG10" s="125"/>
      <c r="COH10" s="125"/>
      <c r="COI10" s="125"/>
      <c r="COJ10" s="125"/>
      <c r="COK10" s="125"/>
      <c r="COL10" s="125"/>
      <c r="COM10" s="125"/>
      <c r="CON10" s="125"/>
      <c r="COO10" s="125"/>
      <c r="COP10" s="125"/>
      <c r="COQ10" s="125"/>
      <c r="COR10" s="125"/>
      <c r="COS10" s="125"/>
      <c r="COT10" s="125"/>
      <c r="COU10" s="125"/>
      <c r="COV10" s="125"/>
      <c r="COW10" s="125"/>
      <c r="COX10" s="125"/>
      <c r="COY10" s="125"/>
      <c r="COZ10" s="125"/>
      <c r="CPA10" s="125"/>
      <c r="CPB10" s="125"/>
      <c r="CPC10" s="125"/>
      <c r="CPD10" s="125"/>
      <c r="CPE10" s="125"/>
      <c r="CPF10" s="125"/>
      <c r="CPG10" s="125"/>
      <c r="CPH10" s="125"/>
      <c r="CPI10" s="125"/>
      <c r="CPJ10" s="125"/>
      <c r="CPK10" s="125"/>
      <c r="CPL10" s="125"/>
      <c r="CPM10" s="125"/>
      <c r="CPN10" s="125"/>
      <c r="CPO10" s="125"/>
      <c r="CPP10" s="125"/>
      <c r="CPQ10" s="125"/>
      <c r="CPR10" s="125"/>
      <c r="CPS10" s="125"/>
      <c r="CPT10" s="125"/>
      <c r="CPU10" s="125"/>
      <c r="CPV10" s="125"/>
      <c r="CPW10" s="125"/>
      <c r="CPX10" s="125"/>
      <c r="CPY10" s="125"/>
      <c r="CPZ10" s="125"/>
      <c r="CQA10" s="125"/>
      <c r="CQB10" s="125"/>
      <c r="CQC10" s="125"/>
      <c r="CQD10" s="125"/>
      <c r="CQE10" s="125"/>
      <c r="CQF10" s="125"/>
      <c r="CQG10" s="125"/>
      <c r="CQH10" s="125"/>
      <c r="CQI10" s="125"/>
      <c r="CQJ10" s="125"/>
      <c r="CQK10" s="125"/>
      <c r="CQL10" s="125"/>
      <c r="CQM10" s="125"/>
      <c r="CQN10" s="125"/>
      <c r="CQO10" s="125"/>
      <c r="CQP10" s="125"/>
      <c r="CQQ10" s="125"/>
      <c r="CQR10" s="125"/>
      <c r="CQS10" s="125"/>
      <c r="CQT10" s="125"/>
      <c r="CQU10" s="125"/>
      <c r="CQV10" s="125"/>
      <c r="CQW10" s="125"/>
      <c r="CQX10" s="125"/>
      <c r="CQY10" s="125"/>
      <c r="CQZ10" s="125"/>
      <c r="CRA10" s="125"/>
      <c r="CRB10" s="125"/>
      <c r="CRC10" s="125"/>
      <c r="CRD10" s="125"/>
      <c r="CRE10" s="125"/>
      <c r="CRF10" s="125"/>
      <c r="CRG10" s="125"/>
      <c r="CRH10" s="125"/>
      <c r="CRI10" s="125"/>
      <c r="CRJ10" s="125"/>
      <c r="CRK10" s="125"/>
      <c r="CRL10" s="125"/>
      <c r="CRM10" s="125"/>
      <c r="CRN10" s="125"/>
      <c r="CRO10" s="125"/>
      <c r="CRP10" s="125"/>
      <c r="CRQ10" s="125"/>
      <c r="CRR10" s="125"/>
      <c r="CRS10" s="125"/>
      <c r="CRT10" s="125"/>
      <c r="CRU10" s="125"/>
      <c r="CRV10" s="125"/>
      <c r="CRW10" s="125"/>
      <c r="CRX10" s="125"/>
      <c r="CRY10" s="125"/>
      <c r="CRZ10" s="125"/>
      <c r="CSA10" s="125"/>
      <c r="CSB10" s="125"/>
      <c r="CSC10" s="125"/>
      <c r="CSD10" s="125"/>
      <c r="CSE10" s="125"/>
      <c r="CSF10" s="125"/>
      <c r="CSG10" s="125"/>
      <c r="CSH10" s="125"/>
      <c r="CSI10" s="125"/>
      <c r="CSJ10" s="125"/>
      <c r="CSK10" s="125"/>
      <c r="CSL10" s="125"/>
      <c r="CSM10" s="125"/>
      <c r="CSN10" s="125"/>
      <c r="CSO10" s="125"/>
      <c r="CSP10" s="125"/>
      <c r="CSQ10" s="125"/>
      <c r="CSR10" s="125"/>
      <c r="CSS10" s="125"/>
      <c r="CST10" s="125"/>
      <c r="CSU10" s="125"/>
      <c r="CSV10" s="125"/>
      <c r="CSW10" s="125"/>
      <c r="CSX10" s="125"/>
      <c r="CSY10" s="125"/>
      <c r="CSZ10" s="125"/>
      <c r="CTA10" s="125"/>
      <c r="CTB10" s="125"/>
      <c r="CTC10" s="125"/>
      <c r="CTD10" s="125"/>
      <c r="CTE10" s="125"/>
      <c r="CTF10" s="125"/>
      <c r="CTG10" s="125"/>
      <c r="CTH10" s="125"/>
      <c r="CTI10" s="125"/>
      <c r="CTJ10" s="125"/>
      <c r="CTK10" s="125"/>
      <c r="CTL10" s="125"/>
      <c r="CTM10" s="125"/>
      <c r="CTN10" s="125"/>
      <c r="CTO10" s="125"/>
      <c r="CTP10" s="125"/>
      <c r="CTQ10" s="125"/>
      <c r="CTR10" s="125"/>
      <c r="CTS10" s="125"/>
      <c r="CTT10" s="125"/>
      <c r="CTU10" s="125"/>
      <c r="CTV10" s="125"/>
      <c r="CTW10" s="125"/>
      <c r="CTX10" s="125"/>
    </row>
    <row r="11" spans="1:2572" s="128" customFormat="1" ht="15.4" customHeight="1">
      <c r="A11" s="13"/>
      <c r="B11" s="14"/>
      <c r="C11"/>
      <c r="D11"/>
      <c r="E11"/>
      <c r="F11"/>
      <c r="G11"/>
      <c r="H11"/>
      <c r="I11"/>
      <c r="J11"/>
      <c r="K11" s="387" t="s">
        <v>8</v>
      </c>
      <c r="L11" s="387"/>
      <c r="M11" s="387"/>
      <c r="N11" s="387"/>
      <c r="O11" s="387"/>
      <c r="P11" s="387"/>
      <c r="Q11" s="387"/>
      <c r="R11" s="387"/>
      <c r="S11" s="387"/>
      <c r="T11" s="387"/>
      <c r="U11" s="388" t="s">
        <v>9</v>
      </c>
      <c r="V11" s="388"/>
      <c r="W11" s="352">
        <v>0</v>
      </c>
      <c r="X11" s="380"/>
      <c r="Y11" s="382"/>
      <c r="Z11" s="374"/>
      <c r="AA11" s="374"/>
      <c r="AB11" s="374"/>
      <c r="AC11" s="374"/>
      <c r="AD11" s="377"/>
      <c r="AE11" s="371"/>
      <c r="AF11" s="374"/>
      <c r="AG11" s="383"/>
      <c r="AH11" s="375"/>
      <c r="AI11" s="374"/>
      <c r="AJ11" s="374"/>
      <c r="AK11" s="377"/>
      <c r="AL11" s="371"/>
      <c r="AM11" s="375"/>
      <c r="AN11" s="374"/>
      <c r="AO11" s="375"/>
      <c r="AP11" s="374"/>
      <c r="AQ11" s="374"/>
      <c r="AR11" s="372"/>
      <c r="AS11" s="371"/>
      <c r="AT11" s="375"/>
      <c r="AU11" s="374"/>
      <c r="AV11" s="374"/>
      <c r="AW11" s="375"/>
      <c r="AX11" s="375"/>
      <c r="AY11" s="372"/>
      <c r="AZ11" s="371"/>
      <c r="BA11" s="374"/>
      <c r="BB11" s="375"/>
      <c r="BC11" s="375"/>
      <c r="BD11" s="375"/>
      <c r="BE11" s="374"/>
      <c r="BF11" s="377"/>
      <c r="BG11" s="373"/>
      <c r="BH11" s="375"/>
      <c r="BI11" s="375"/>
      <c r="BJ11" s="374"/>
      <c r="BK11" s="374"/>
      <c r="BL11" s="375"/>
      <c r="BM11" s="372"/>
      <c r="BN11" s="373"/>
      <c r="BO11" s="374"/>
      <c r="BP11" s="374"/>
      <c r="BQ11" s="375"/>
      <c r="BR11" s="375"/>
      <c r="BS11" s="375"/>
      <c r="BT11" s="377"/>
      <c r="BU11" s="371"/>
      <c r="BV11" s="125"/>
      <c r="BW11" s="125"/>
      <c r="BX11" s="125"/>
      <c r="BY11" s="124"/>
      <c r="BZ11" s="124"/>
      <c r="CA11" s="125"/>
      <c r="CB11" s="125"/>
      <c r="CC11" s="125"/>
      <c r="CD11" s="124"/>
      <c r="CE11" s="124"/>
      <c r="CF11" s="125"/>
      <c r="CG11" s="125"/>
      <c r="CH11" s="125"/>
      <c r="CI11" s="124"/>
      <c r="CJ11" s="124"/>
      <c r="CK11" s="125"/>
      <c r="CL11" s="125"/>
      <c r="CM11" s="125"/>
      <c r="CN11" s="124"/>
      <c r="CO11" s="124"/>
      <c r="CP11" s="125"/>
      <c r="CQ11" s="125"/>
      <c r="CR11" s="125"/>
      <c r="CS11" s="124"/>
      <c r="CT11" s="124"/>
      <c r="CU11" s="125"/>
      <c r="CV11" s="125"/>
      <c r="CW11" s="125"/>
      <c r="CX11" s="124"/>
      <c r="CY11" s="124"/>
      <c r="CZ11" s="125"/>
      <c r="DA11" s="125"/>
      <c r="DB11" s="125"/>
      <c r="DC11" s="124"/>
      <c r="DD11" s="124"/>
      <c r="DE11" s="125"/>
      <c r="DF11" s="125"/>
      <c r="DG11" s="125"/>
      <c r="DH11" s="124"/>
      <c r="DI11" s="124"/>
      <c r="DJ11" s="125"/>
      <c r="DK11" s="125"/>
      <c r="DL11" s="125"/>
      <c r="DM11" s="124"/>
      <c r="DN11" s="124"/>
      <c r="DO11" s="125"/>
      <c r="DP11" s="125"/>
      <c r="DQ11" s="125"/>
      <c r="DR11" s="124"/>
      <c r="DS11" s="124"/>
      <c r="DT11" s="125"/>
      <c r="DU11" s="125"/>
      <c r="DV11" s="125"/>
      <c r="DW11" s="124"/>
      <c r="DX11" s="124"/>
      <c r="DY11" s="125"/>
      <c r="DZ11" s="125"/>
      <c r="EA11" s="125"/>
      <c r="EB11" s="124"/>
      <c r="EC11" s="124"/>
      <c r="ED11" s="125"/>
      <c r="EE11" s="125"/>
      <c r="EF11" s="125"/>
      <c r="EG11" s="125"/>
      <c r="EH11" s="124"/>
      <c r="EI11" s="125"/>
      <c r="EJ11" s="125"/>
      <c r="EK11" s="125"/>
      <c r="EL11" s="125"/>
      <c r="EM11" s="125"/>
      <c r="EN11" s="125"/>
      <c r="EO11" s="125"/>
      <c r="EP11" s="125"/>
      <c r="EQ11" s="125"/>
      <c r="ER11" s="125"/>
      <c r="ES11" s="125"/>
      <c r="ET11" s="125"/>
      <c r="EU11" s="125"/>
      <c r="EV11" s="125"/>
      <c r="EW11" s="125"/>
      <c r="EX11" s="125"/>
      <c r="EY11" s="125"/>
      <c r="EZ11" s="125"/>
      <c r="FA11" s="125"/>
      <c r="FB11" s="125"/>
      <c r="FC11" s="125"/>
      <c r="FD11" s="125"/>
      <c r="FE11" s="125"/>
      <c r="FF11" s="125"/>
      <c r="FG11" s="125"/>
      <c r="FH11" s="125"/>
      <c r="FI11" s="125"/>
      <c r="FJ11" s="125"/>
      <c r="FK11" s="125"/>
      <c r="FL11" s="125"/>
      <c r="FM11" s="125"/>
      <c r="FN11" s="125"/>
      <c r="FO11" s="125"/>
      <c r="FP11" s="125"/>
      <c r="FQ11" s="125"/>
      <c r="FR11" s="125"/>
      <c r="FS11" s="125"/>
      <c r="FT11" s="125"/>
      <c r="FU11" s="125"/>
      <c r="FV11" s="125"/>
      <c r="FW11" s="125"/>
      <c r="FX11" s="125"/>
      <c r="FY11" s="125"/>
      <c r="FZ11" s="125"/>
      <c r="GA11" s="125"/>
      <c r="GB11" s="125"/>
      <c r="GC11" s="125"/>
      <c r="GD11" s="125"/>
      <c r="GE11" s="125"/>
      <c r="GF11" s="125"/>
      <c r="GG11" s="125"/>
      <c r="GH11" s="125"/>
      <c r="GI11" s="125"/>
      <c r="GJ11" s="125"/>
      <c r="GK11" s="125"/>
      <c r="GL11" s="125"/>
      <c r="GM11" s="125"/>
      <c r="GN11" s="125"/>
      <c r="GO11" s="125"/>
      <c r="GP11" s="125"/>
      <c r="GQ11" s="125"/>
      <c r="GR11" s="125"/>
      <c r="GS11" s="125"/>
      <c r="GT11" s="125"/>
      <c r="GU11" s="125"/>
      <c r="GV11" s="125"/>
      <c r="GW11" s="125"/>
      <c r="GX11" s="125"/>
      <c r="GY11" s="125"/>
      <c r="GZ11" s="125"/>
      <c r="HA11" s="125"/>
      <c r="HB11" s="125"/>
      <c r="HC11" s="125"/>
      <c r="HD11" s="125"/>
      <c r="HE11" s="125"/>
      <c r="HF11" s="125"/>
      <c r="HG11" s="125"/>
      <c r="HH11" s="125"/>
      <c r="HI11" s="125"/>
      <c r="HJ11" s="125"/>
      <c r="HK11" s="125"/>
      <c r="HL11" s="125"/>
      <c r="HM11" s="125"/>
      <c r="HN11" s="125"/>
      <c r="HO11" s="125"/>
      <c r="HP11" s="125"/>
      <c r="HQ11" s="125"/>
      <c r="HR11" s="125"/>
      <c r="HS11" s="125"/>
      <c r="HT11" s="125"/>
      <c r="HU11" s="125"/>
      <c r="HV11" s="125"/>
      <c r="HW11" s="125"/>
      <c r="HX11" s="125"/>
      <c r="HY11" s="125"/>
      <c r="HZ11" s="125"/>
      <c r="IA11" s="125"/>
      <c r="IB11" s="125"/>
      <c r="IC11" s="125"/>
      <c r="ID11" s="125"/>
      <c r="IE11" s="125"/>
      <c r="IF11" s="125"/>
      <c r="IG11" s="125"/>
      <c r="IH11" s="125"/>
      <c r="II11" s="125"/>
      <c r="IJ11" s="125"/>
      <c r="IK11" s="126"/>
      <c r="IL11" s="125"/>
      <c r="IM11" s="125"/>
      <c r="IN11" s="125"/>
      <c r="IO11" s="125"/>
      <c r="IP11" s="125"/>
      <c r="IQ11" s="125"/>
      <c r="IR11" s="124"/>
      <c r="IS11" s="125"/>
      <c r="IT11" s="125"/>
      <c r="IU11" s="125"/>
      <c r="IV11" s="125"/>
      <c r="IW11" s="125"/>
      <c r="IX11" s="125"/>
      <c r="IY11" s="125"/>
      <c r="IZ11" s="125"/>
      <c r="JA11" s="125"/>
      <c r="JB11" s="125"/>
      <c r="JC11" s="125"/>
      <c r="JD11" s="125"/>
      <c r="JE11" s="125"/>
      <c r="JF11" s="125"/>
      <c r="JG11" s="125"/>
      <c r="JH11" s="125"/>
      <c r="JI11" s="125"/>
      <c r="JJ11" s="125"/>
      <c r="JK11" s="125"/>
      <c r="JL11" s="125"/>
      <c r="JM11" s="125"/>
      <c r="JN11" s="125"/>
      <c r="JO11" s="125"/>
      <c r="JP11" s="125"/>
      <c r="JQ11" s="125"/>
      <c r="JR11" s="125"/>
      <c r="JS11" s="125"/>
      <c r="JT11" s="125"/>
      <c r="JU11" s="125"/>
      <c r="JV11" s="125"/>
      <c r="JW11" s="125"/>
      <c r="JX11" s="125"/>
      <c r="JY11" s="125"/>
      <c r="JZ11" s="125"/>
      <c r="KA11" s="125"/>
      <c r="KB11" s="125"/>
      <c r="KC11" s="125"/>
      <c r="KD11" s="125"/>
      <c r="KE11" s="125"/>
      <c r="KF11" s="125"/>
      <c r="KG11" s="125"/>
      <c r="KH11" s="125"/>
      <c r="KI11" s="125"/>
      <c r="KJ11" s="125"/>
      <c r="KK11" s="125"/>
      <c r="KL11" s="125"/>
      <c r="KM11" s="125"/>
      <c r="KN11" s="125"/>
      <c r="KO11" s="125"/>
      <c r="KP11" s="125"/>
      <c r="KQ11" s="125"/>
      <c r="KR11" s="125"/>
      <c r="KS11" s="125"/>
      <c r="KT11" s="125"/>
      <c r="KU11" s="125"/>
      <c r="KV11" s="125"/>
      <c r="KW11" s="125"/>
      <c r="KX11" s="125"/>
      <c r="KY11" s="125"/>
      <c r="KZ11" s="125"/>
      <c r="LA11" s="125"/>
      <c r="LB11" s="125"/>
      <c r="LC11" s="125"/>
      <c r="LD11" s="125"/>
      <c r="LE11" s="125"/>
      <c r="LF11" s="125"/>
      <c r="LG11" s="125"/>
      <c r="LH11" s="125"/>
      <c r="LI11" s="125"/>
      <c r="LJ11" s="125"/>
      <c r="LK11" s="125"/>
      <c r="LL11" s="125"/>
      <c r="LM11" s="125"/>
      <c r="LN11" s="125"/>
      <c r="LO11" s="125"/>
      <c r="LP11" s="125"/>
      <c r="LQ11" s="125"/>
      <c r="LR11" s="125"/>
      <c r="LS11" s="125"/>
      <c r="LT11" s="125"/>
      <c r="LU11" s="125"/>
      <c r="LV11" s="125"/>
      <c r="LW11" s="125"/>
      <c r="LX11" s="125"/>
      <c r="LY11" s="125"/>
      <c r="LZ11" s="125"/>
      <c r="MA11" s="125"/>
      <c r="MB11" s="125"/>
      <c r="MC11" s="125"/>
      <c r="MD11" s="125"/>
      <c r="ME11" s="125"/>
      <c r="MF11" s="125"/>
      <c r="MG11" s="125"/>
      <c r="MH11" s="125"/>
      <c r="MI11" s="125"/>
      <c r="MJ11" s="125"/>
      <c r="MK11" s="125"/>
      <c r="ML11" s="125"/>
      <c r="MM11" s="125"/>
      <c r="MN11" s="125"/>
      <c r="MO11" s="125"/>
      <c r="MP11" s="125"/>
      <c r="MQ11" s="125"/>
      <c r="MR11" s="125"/>
      <c r="MS11" s="125"/>
      <c r="MT11" s="125"/>
      <c r="MU11" s="125"/>
      <c r="MV11" s="125"/>
      <c r="MW11" s="125"/>
      <c r="MX11" s="125"/>
      <c r="MY11" s="125"/>
      <c r="MZ11" s="125"/>
      <c r="NA11" s="125"/>
      <c r="NB11" s="125"/>
      <c r="NC11" s="125"/>
      <c r="ND11" s="125"/>
      <c r="NE11" s="125"/>
      <c r="NF11" s="125"/>
      <c r="NG11" s="125"/>
      <c r="NH11" s="125"/>
      <c r="NI11" s="125"/>
      <c r="NJ11" s="125"/>
      <c r="NK11" s="125"/>
      <c r="NL11" s="125"/>
      <c r="NM11" s="125"/>
      <c r="NN11" s="125"/>
      <c r="NO11" s="125"/>
      <c r="NP11" s="125"/>
      <c r="NQ11" s="125"/>
      <c r="NR11" s="125"/>
      <c r="NS11" s="125"/>
      <c r="NT11" s="125"/>
      <c r="NU11" s="125"/>
      <c r="NV11" s="125"/>
      <c r="NW11" s="125"/>
      <c r="NX11" s="125"/>
      <c r="NY11" s="125"/>
      <c r="NZ11" s="125"/>
      <c r="OA11" s="125"/>
      <c r="OB11" s="125"/>
      <c r="OC11" s="125"/>
      <c r="OD11" s="125"/>
      <c r="OE11" s="125"/>
      <c r="OF11" s="125"/>
      <c r="OG11" s="125"/>
      <c r="OH11" s="125"/>
      <c r="OI11" s="125"/>
      <c r="OJ11" s="125"/>
      <c r="OK11" s="125"/>
      <c r="OL11" s="125"/>
      <c r="OM11" s="125"/>
      <c r="ON11" s="125"/>
      <c r="OO11" s="125"/>
      <c r="OP11" s="125"/>
      <c r="OQ11" s="125"/>
      <c r="OR11" s="125"/>
      <c r="OS11" s="125"/>
      <c r="OT11" s="125"/>
      <c r="OU11" s="125"/>
      <c r="OV11" s="125"/>
      <c r="OW11" s="125"/>
      <c r="OX11" s="125"/>
      <c r="OY11" s="125"/>
      <c r="OZ11" s="125"/>
      <c r="PA11" s="125"/>
      <c r="PB11" s="125"/>
      <c r="PC11" s="125"/>
      <c r="PD11" s="125"/>
      <c r="PE11" s="125"/>
      <c r="PF11" s="125"/>
      <c r="PG11" s="125"/>
      <c r="PH11" s="125"/>
      <c r="PI11" s="125"/>
      <c r="PJ11" s="125"/>
      <c r="PK11" s="125"/>
      <c r="PL11" s="125"/>
      <c r="PM11" s="125"/>
      <c r="PN11" s="125"/>
      <c r="PO11" s="125"/>
      <c r="PP11" s="125"/>
      <c r="PQ11" s="125"/>
      <c r="PR11" s="125"/>
      <c r="PS11" s="125"/>
      <c r="PT11" s="125"/>
      <c r="PU11" s="125"/>
      <c r="PV11" s="125"/>
      <c r="PW11" s="125"/>
      <c r="PX11" s="125"/>
      <c r="PY11" s="125"/>
      <c r="PZ11" s="125"/>
      <c r="QA11" s="125"/>
      <c r="QB11" s="125"/>
      <c r="QC11" s="125"/>
      <c r="QD11" s="125"/>
      <c r="QE11" s="125"/>
      <c r="QF11" s="125"/>
      <c r="QG11" s="125"/>
      <c r="QH11" s="125"/>
      <c r="QI11" s="125"/>
      <c r="QJ11" s="125"/>
      <c r="QK11" s="125"/>
      <c r="QL11" s="125"/>
      <c r="QM11" s="125"/>
      <c r="QN11" s="125"/>
      <c r="QO11" s="125"/>
      <c r="QP11" s="125"/>
      <c r="QQ11" s="125"/>
      <c r="QR11" s="125"/>
      <c r="QS11" s="125"/>
      <c r="QT11" s="125"/>
      <c r="QU11" s="125"/>
      <c r="QV11" s="125"/>
      <c r="QW11" s="125"/>
      <c r="QX11" s="125"/>
      <c r="QY11" s="125"/>
      <c r="QZ11" s="125"/>
      <c r="RA11" s="125"/>
      <c r="RB11" s="125"/>
      <c r="RC11" s="125"/>
      <c r="RD11" s="125"/>
      <c r="RE11" s="125"/>
      <c r="RF11" s="125"/>
      <c r="RG11" s="125"/>
      <c r="RH11" s="125"/>
      <c r="RI11" s="125"/>
      <c r="RJ11" s="125"/>
      <c r="RK11" s="125"/>
      <c r="RL11" s="125"/>
      <c r="RM11" s="125"/>
      <c r="RN11" s="125"/>
      <c r="RO11" s="125"/>
      <c r="RP11" s="125"/>
      <c r="RQ11" s="125"/>
      <c r="RR11" s="125"/>
      <c r="RS11" s="125"/>
      <c r="RT11" s="125"/>
      <c r="RU11" s="125"/>
      <c r="RV11" s="125"/>
      <c r="RW11" s="125"/>
      <c r="RX11" s="125"/>
      <c r="RY11" s="125"/>
      <c r="RZ11" s="125"/>
      <c r="SA11" s="125"/>
      <c r="SB11" s="125"/>
      <c r="SC11" s="125"/>
      <c r="SD11" s="125"/>
      <c r="SE11" s="125"/>
      <c r="SF11" s="125"/>
      <c r="SG11" s="125"/>
      <c r="SH11" s="125"/>
      <c r="SI11" s="125"/>
      <c r="SJ11" s="125"/>
      <c r="SK11" s="125"/>
      <c r="SL11" s="125"/>
      <c r="SM11" s="125"/>
      <c r="SN11" s="125"/>
      <c r="SO11" s="125"/>
      <c r="SP11" s="125"/>
      <c r="SQ11" s="125"/>
      <c r="SR11" s="125"/>
      <c r="SS11" s="125"/>
      <c r="ST11" s="125"/>
      <c r="SU11" s="125"/>
      <c r="SV11" s="125"/>
      <c r="SW11" s="125"/>
      <c r="SX11" s="125"/>
      <c r="SY11" s="125"/>
      <c r="SZ11" s="125"/>
      <c r="TA11" s="125"/>
      <c r="TB11" s="125"/>
      <c r="TC11" s="125"/>
      <c r="TD11" s="125"/>
      <c r="TE11" s="125"/>
      <c r="TF11" s="125"/>
      <c r="TG11" s="125"/>
      <c r="TH11" s="125"/>
      <c r="TI11" s="125"/>
      <c r="TJ11" s="125"/>
      <c r="TK11" s="125"/>
      <c r="TL11" s="125"/>
      <c r="TM11" s="125"/>
      <c r="TN11" s="125"/>
      <c r="TO11" s="125"/>
      <c r="TP11" s="125"/>
      <c r="TQ11" s="125"/>
      <c r="TR11" s="125"/>
      <c r="TS11" s="125"/>
      <c r="TT11" s="125"/>
      <c r="TU11" s="125"/>
      <c r="TV11" s="125"/>
      <c r="TW11" s="125"/>
      <c r="TX11" s="125"/>
      <c r="TY11" s="125"/>
      <c r="TZ11" s="125"/>
      <c r="UA11" s="125"/>
      <c r="UB11" s="125"/>
      <c r="UC11" s="125"/>
      <c r="UD11" s="125"/>
      <c r="UE11" s="125"/>
      <c r="UF11" s="125"/>
      <c r="UG11" s="125"/>
      <c r="UH11" s="125"/>
      <c r="UI11" s="125"/>
      <c r="UJ11" s="125"/>
      <c r="UK11" s="125"/>
      <c r="UL11" s="125"/>
      <c r="UM11" s="125"/>
      <c r="UN11" s="125"/>
      <c r="UO11" s="125"/>
      <c r="UP11" s="125"/>
      <c r="UQ11" s="125"/>
      <c r="UR11" s="125"/>
      <c r="US11" s="125"/>
      <c r="UT11" s="125"/>
      <c r="UU11" s="125"/>
      <c r="UV11" s="125"/>
      <c r="UW11" s="125"/>
      <c r="UX11" s="125"/>
      <c r="UY11" s="125"/>
      <c r="UZ11" s="125"/>
      <c r="VA11" s="125"/>
      <c r="VB11" s="125"/>
      <c r="VC11" s="125"/>
      <c r="VD11" s="125"/>
      <c r="VE11" s="125"/>
      <c r="VF11" s="125"/>
      <c r="VG11" s="125"/>
      <c r="VH11" s="125"/>
      <c r="VI11" s="125"/>
      <c r="VJ11" s="125"/>
      <c r="VK11" s="125"/>
      <c r="VL11" s="125"/>
      <c r="VM11" s="125"/>
      <c r="VN11" s="125"/>
      <c r="VO11" s="125"/>
      <c r="VP11" s="125"/>
      <c r="VQ11" s="125"/>
      <c r="VR11" s="125"/>
      <c r="VS11" s="125"/>
      <c r="VT11" s="125"/>
      <c r="VU11" s="125"/>
      <c r="VV11" s="125"/>
      <c r="VW11" s="125"/>
      <c r="VX11" s="125"/>
      <c r="VY11" s="125"/>
      <c r="VZ11" s="125"/>
      <c r="WA11" s="125"/>
      <c r="WB11" s="125"/>
      <c r="WC11" s="125"/>
      <c r="WD11" s="125"/>
      <c r="WE11" s="125"/>
      <c r="WF11" s="125"/>
      <c r="WG11" s="125"/>
      <c r="WH11" s="125"/>
      <c r="WI11" s="125"/>
      <c r="WJ11" s="125"/>
      <c r="WK11" s="125"/>
      <c r="WL11" s="125"/>
      <c r="WM11" s="125"/>
      <c r="WN11" s="125"/>
      <c r="WO11" s="125"/>
      <c r="WP11" s="125"/>
      <c r="WQ11" s="125"/>
      <c r="WR11" s="125"/>
      <c r="WS11" s="125"/>
      <c r="WT11" s="125"/>
      <c r="WU11" s="125"/>
      <c r="WV11" s="125"/>
      <c r="WW11" s="125"/>
      <c r="WX11" s="125"/>
      <c r="WY11" s="125"/>
      <c r="WZ11" s="125"/>
      <c r="XA11" s="125"/>
      <c r="XB11" s="125"/>
      <c r="XC11" s="125"/>
      <c r="XD11" s="125"/>
      <c r="XE11" s="125"/>
      <c r="XF11" s="125"/>
      <c r="XG11" s="125"/>
      <c r="XH11" s="125"/>
      <c r="XI11" s="125"/>
      <c r="XJ11" s="125"/>
      <c r="XK11" s="125"/>
      <c r="XL11" s="125"/>
      <c r="XM11" s="125"/>
      <c r="XN11" s="125"/>
      <c r="XO11" s="125"/>
      <c r="XP11" s="125"/>
      <c r="XQ11" s="125"/>
      <c r="XR11" s="125"/>
      <c r="XS11" s="125"/>
      <c r="XT11" s="125"/>
      <c r="XU11" s="125"/>
      <c r="XV11" s="125"/>
      <c r="XW11" s="125"/>
      <c r="XX11" s="125"/>
      <c r="XY11" s="125"/>
      <c r="XZ11" s="125"/>
      <c r="YA11" s="125"/>
      <c r="YB11" s="125"/>
      <c r="YC11" s="125"/>
      <c r="YD11" s="125"/>
      <c r="YE11" s="125"/>
      <c r="YF11" s="125"/>
      <c r="YG11" s="125"/>
      <c r="YH11" s="125"/>
      <c r="YI11" s="125"/>
      <c r="YJ11" s="125"/>
      <c r="YK11" s="125"/>
      <c r="YL11" s="125"/>
      <c r="YM11" s="125"/>
      <c r="YN11" s="125"/>
      <c r="YO11" s="125"/>
      <c r="YP11" s="125"/>
      <c r="YQ11" s="125"/>
      <c r="YR11" s="125"/>
      <c r="YS11" s="125"/>
      <c r="YT11" s="125"/>
      <c r="YU11" s="125"/>
      <c r="YV11" s="125"/>
      <c r="YW11" s="125"/>
      <c r="YX11" s="125"/>
      <c r="YY11" s="125"/>
      <c r="YZ11" s="125"/>
      <c r="ZA11" s="125"/>
      <c r="ZB11" s="125"/>
      <c r="ZC11" s="125"/>
      <c r="ZD11" s="125"/>
      <c r="ZE11" s="125"/>
      <c r="ZF11" s="125"/>
      <c r="ZG11" s="125"/>
      <c r="ZH11" s="125"/>
      <c r="ZI11" s="125"/>
      <c r="ZJ11" s="125"/>
      <c r="ZK11" s="125"/>
      <c r="ZL11" s="125"/>
      <c r="ZM11" s="125"/>
      <c r="ZN11" s="125"/>
      <c r="ZO11" s="125"/>
      <c r="ZP11" s="125"/>
      <c r="ZQ11" s="125"/>
      <c r="ZR11" s="125"/>
      <c r="ZS11" s="125"/>
      <c r="ZT11" s="125"/>
      <c r="ZU11" s="125"/>
      <c r="ZV11" s="125"/>
      <c r="ZW11" s="125"/>
      <c r="ZX11" s="125"/>
      <c r="ZY11" s="125"/>
      <c r="ZZ11" s="125"/>
      <c r="AAA11" s="125"/>
      <c r="AAB11" s="125"/>
      <c r="AAC11" s="125"/>
      <c r="AAD11" s="125"/>
      <c r="AAE11" s="125"/>
      <c r="AAF11" s="125"/>
      <c r="AAG11" s="125"/>
      <c r="AAH11" s="125"/>
      <c r="AAI11" s="125"/>
      <c r="AAJ11" s="125"/>
      <c r="AAK11" s="125"/>
      <c r="AAL11" s="125"/>
      <c r="AAM11" s="125"/>
      <c r="AAN11" s="125"/>
      <c r="AAO11" s="125"/>
      <c r="AAP11" s="125"/>
      <c r="AAQ11" s="125"/>
      <c r="AAR11" s="125"/>
      <c r="AAS11" s="125"/>
      <c r="AAT11" s="125"/>
      <c r="AAU11" s="125"/>
      <c r="AAV11" s="125"/>
      <c r="AAW11" s="125"/>
      <c r="AAX11" s="125"/>
      <c r="AAY11" s="125"/>
      <c r="AAZ11" s="125"/>
      <c r="ABA11" s="125"/>
      <c r="ABB11" s="125"/>
      <c r="ABC11" s="125"/>
      <c r="ABD11" s="125"/>
      <c r="ABE11" s="125"/>
      <c r="ABF11" s="125"/>
      <c r="ABG11" s="125"/>
      <c r="ABH11" s="125"/>
      <c r="ABI11" s="125"/>
      <c r="ABJ11" s="125"/>
      <c r="ABK11" s="125"/>
      <c r="ABL11" s="125"/>
      <c r="ABM11" s="125"/>
      <c r="ABN11" s="125"/>
      <c r="ABO11" s="125"/>
      <c r="ABP11" s="125"/>
      <c r="ABQ11" s="125"/>
      <c r="ABR11" s="125"/>
      <c r="ABS11" s="125"/>
      <c r="ABT11" s="125"/>
      <c r="ABU11" s="125"/>
      <c r="ABV11" s="125"/>
      <c r="ABW11" s="125"/>
      <c r="ABX11" s="125"/>
      <c r="ABY11" s="125"/>
      <c r="ABZ11" s="125"/>
      <c r="ACA11" s="125"/>
      <c r="ACB11" s="125"/>
      <c r="ACC11" s="125"/>
      <c r="ACD11" s="125"/>
      <c r="ACE11" s="125"/>
      <c r="ACF11" s="125"/>
      <c r="ACG11" s="125"/>
      <c r="ACH11" s="125"/>
      <c r="ACI11" s="125"/>
      <c r="ACJ11" s="125"/>
      <c r="ACK11" s="125"/>
      <c r="ACL11" s="125"/>
      <c r="ACM11" s="125"/>
      <c r="ACN11" s="125"/>
      <c r="ACO11" s="125"/>
      <c r="ACP11" s="125"/>
      <c r="ACQ11" s="125"/>
      <c r="ACR11" s="125"/>
      <c r="ACS11" s="125"/>
      <c r="ACT11" s="125"/>
      <c r="ACU11" s="125"/>
      <c r="ACV11" s="125"/>
      <c r="ACW11" s="125"/>
      <c r="ACX11" s="125"/>
      <c r="ACY11" s="125"/>
      <c r="ACZ11" s="125"/>
      <c r="ADA11" s="125"/>
      <c r="ADB11" s="125"/>
      <c r="ADC11" s="125"/>
      <c r="ADD11" s="125"/>
      <c r="ADE11" s="125"/>
      <c r="ADF11" s="125"/>
      <c r="ADG11" s="125"/>
      <c r="ADH11" s="125"/>
      <c r="ADI11" s="125"/>
      <c r="ADJ11" s="125"/>
      <c r="ADK11" s="125"/>
      <c r="ADL11" s="125"/>
      <c r="ADM11" s="125"/>
      <c r="ADN11" s="125"/>
      <c r="ADO11" s="125"/>
      <c r="ADP11" s="125"/>
      <c r="ADQ11" s="125"/>
      <c r="ADR11" s="125"/>
      <c r="ADS11" s="125"/>
      <c r="ADT11" s="125"/>
      <c r="ADU11" s="125"/>
      <c r="ADV11" s="125"/>
      <c r="ADW11" s="125"/>
      <c r="ADX11" s="125"/>
      <c r="ADY11" s="125"/>
      <c r="ADZ11" s="125"/>
      <c r="AEA11" s="125"/>
      <c r="AEB11" s="125"/>
      <c r="AEC11" s="125"/>
      <c r="AED11" s="125"/>
      <c r="AEE11" s="125"/>
      <c r="AEF11" s="125"/>
      <c r="AEG11" s="125"/>
      <c r="AEH11" s="125"/>
      <c r="AEI11" s="125"/>
      <c r="AEJ11" s="125"/>
      <c r="AEK11" s="125"/>
      <c r="AEL11" s="125"/>
      <c r="AEM11" s="125"/>
      <c r="AEN11" s="125"/>
      <c r="AEO11" s="125"/>
      <c r="AEP11" s="125"/>
      <c r="AEQ11" s="125"/>
      <c r="AER11" s="125"/>
      <c r="AES11" s="125"/>
      <c r="AET11" s="125"/>
      <c r="AEU11" s="125"/>
      <c r="AEV11" s="125"/>
      <c r="AEW11" s="125"/>
      <c r="AEX11" s="125"/>
      <c r="AEY11" s="125"/>
      <c r="AEZ11" s="125"/>
      <c r="AFA11" s="125"/>
      <c r="AFB11" s="125"/>
      <c r="AFC11" s="125"/>
      <c r="AFD11" s="125"/>
      <c r="AFE11" s="125"/>
      <c r="AFF11" s="125"/>
      <c r="AFG11" s="125"/>
      <c r="AFH11" s="125"/>
      <c r="AFI11" s="125"/>
      <c r="AFJ11" s="125"/>
      <c r="AFK11" s="125"/>
      <c r="AFL11" s="125"/>
      <c r="AFM11" s="125"/>
      <c r="AFN11" s="125"/>
      <c r="AFO11" s="125"/>
      <c r="AFP11" s="125"/>
      <c r="AFQ11" s="125"/>
      <c r="AFR11" s="125"/>
      <c r="AFS11" s="125"/>
      <c r="AFT11" s="125"/>
      <c r="AFU11" s="125"/>
      <c r="AFV11" s="125"/>
      <c r="AFW11" s="125"/>
      <c r="AFX11" s="125"/>
      <c r="AFY11" s="125"/>
      <c r="AFZ11" s="125"/>
      <c r="AGA11" s="125"/>
      <c r="AGB11" s="125"/>
      <c r="AGC11" s="125"/>
      <c r="AGD11" s="125"/>
      <c r="AGE11" s="125"/>
      <c r="AGF11" s="125"/>
      <c r="AGG11" s="125"/>
      <c r="AGH11" s="125"/>
      <c r="AGI11" s="125"/>
      <c r="AGJ11" s="125"/>
      <c r="AGK11" s="125"/>
      <c r="AGL11" s="125"/>
      <c r="AGM11" s="125"/>
      <c r="AGN11" s="125"/>
      <c r="AGO11" s="125"/>
      <c r="AGP11" s="125"/>
      <c r="AGQ11" s="125"/>
      <c r="AGR11" s="125"/>
      <c r="AGS11" s="125"/>
      <c r="AGT11" s="125"/>
      <c r="AGU11" s="125"/>
      <c r="AGV11" s="125"/>
      <c r="AGW11" s="125"/>
      <c r="AGX11" s="125"/>
      <c r="AGY11" s="125"/>
      <c r="AGZ11" s="125"/>
      <c r="AHA11" s="125"/>
      <c r="AHB11" s="125"/>
      <c r="AHC11" s="125"/>
      <c r="AHD11" s="125"/>
      <c r="AHE11" s="125"/>
      <c r="AHF11" s="125"/>
      <c r="AHG11" s="125"/>
      <c r="AHH11" s="125"/>
      <c r="AHI11" s="125"/>
      <c r="AHJ11" s="125"/>
      <c r="AHK11" s="125"/>
      <c r="AHL11" s="125"/>
      <c r="AHM11" s="125"/>
      <c r="AHN11" s="125"/>
      <c r="AHO11" s="125"/>
      <c r="AHP11" s="125"/>
      <c r="AHQ11" s="125"/>
      <c r="AHR11" s="125"/>
      <c r="AHS11" s="125"/>
      <c r="AHT11" s="125"/>
      <c r="AHU11" s="125"/>
      <c r="AHV11" s="125"/>
      <c r="AHW11" s="125"/>
      <c r="AHX11" s="125"/>
      <c r="AHY11" s="125"/>
      <c r="AHZ11" s="125"/>
      <c r="AIA11" s="125"/>
      <c r="AIB11" s="125"/>
      <c r="AIC11" s="125"/>
      <c r="AID11" s="125"/>
      <c r="AIE11" s="125"/>
      <c r="AIF11" s="125"/>
      <c r="AIG11" s="125"/>
      <c r="AIH11" s="125"/>
      <c r="AII11" s="125"/>
      <c r="AIJ11" s="125"/>
      <c r="AIK11" s="125"/>
      <c r="AIL11" s="125"/>
      <c r="AIM11" s="125"/>
      <c r="AIN11" s="125"/>
      <c r="AIO11" s="125"/>
      <c r="AIP11" s="125"/>
      <c r="AIQ11" s="125"/>
      <c r="AIR11" s="125"/>
      <c r="AIS11" s="125"/>
      <c r="AIT11" s="125"/>
      <c r="AIU11" s="125"/>
      <c r="AIV11" s="125"/>
      <c r="AIW11" s="125"/>
      <c r="AIX11" s="125"/>
      <c r="AIY11" s="125"/>
      <c r="AIZ11" s="125"/>
      <c r="AJA11" s="125"/>
      <c r="AJB11" s="125"/>
      <c r="AJC11" s="125"/>
      <c r="AJD11" s="125"/>
      <c r="AJE11" s="125"/>
      <c r="AJF11" s="125"/>
      <c r="AJG11" s="125"/>
      <c r="AJH11" s="125"/>
      <c r="AJI11" s="125"/>
      <c r="AJJ11" s="125"/>
      <c r="AJK11" s="125"/>
      <c r="AJL11" s="125"/>
      <c r="AJM11" s="125"/>
      <c r="AJN11" s="125"/>
      <c r="AJO11" s="125"/>
      <c r="AJP11" s="125"/>
      <c r="AJQ11" s="125"/>
      <c r="AJR11" s="125"/>
      <c r="AJS11" s="125"/>
      <c r="AJT11" s="125"/>
      <c r="AJU11" s="125"/>
      <c r="AJV11" s="125"/>
      <c r="AJW11" s="125"/>
      <c r="AJX11" s="125"/>
      <c r="AJY11" s="125"/>
      <c r="AJZ11" s="125"/>
      <c r="AKA11" s="125"/>
      <c r="AKB11" s="125"/>
      <c r="AKC11" s="125"/>
      <c r="AKD11" s="125"/>
      <c r="AKE11" s="125"/>
      <c r="AKF11" s="125"/>
      <c r="AKG11" s="125"/>
      <c r="AKH11" s="125"/>
      <c r="AKI11" s="125"/>
      <c r="AKJ11" s="125"/>
      <c r="AKK11" s="125"/>
      <c r="AKL11" s="125"/>
      <c r="AKM11" s="125"/>
      <c r="AKN11" s="125"/>
      <c r="AKO11" s="125"/>
      <c r="AKP11" s="125"/>
      <c r="AKQ11" s="125"/>
      <c r="AKR11" s="125"/>
      <c r="AKS11" s="125"/>
      <c r="AKT11" s="125"/>
      <c r="AKU11" s="125"/>
      <c r="AKV11" s="125"/>
      <c r="AKW11" s="125"/>
      <c r="AKX11" s="125"/>
      <c r="AKY11" s="125"/>
      <c r="AKZ11" s="125"/>
      <c r="ALA11" s="125"/>
      <c r="ALB11" s="125"/>
      <c r="ALC11" s="125"/>
      <c r="ALD11" s="125"/>
      <c r="ALE11" s="125"/>
      <c r="ALF11" s="125"/>
      <c r="ALG11" s="125"/>
      <c r="ALH11" s="125"/>
      <c r="ALI11" s="125"/>
      <c r="ALJ11" s="125"/>
      <c r="ALK11" s="125"/>
      <c r="ALL11" s="125"/>
      <c r="ALM11" s="125"/>
      <c r="ALN11" s="125"/>
      <c r="ALO11" s="125"/>
      <c r="ALP11" s="125"/>
      <c r="ALQ11" s="125"/>
      <c r="ALR11" s="125"/>
      <c r="ALS11" s="125"/>
      <c r="ALT11" s="125"/>
      <c r="ALU11" s="125"/>
      <c r="ALV11" s="125"/>
      <c r="ALW11" s="125"/>
      <c r="ALX11" s="125"/>
      <c r="ALY11" s="125"/>
      <c r="ALZ11" s="125"/>
      <c r="AMA11" s="125"/>
      <c r="AMB11" s="125"/>
      <c r="AMC11" s="125"/>
      <c r="AMD11" s="125"/>
      <c r="AME11" s="125"/>
      <c r="AMF11" s="125"/>
      <c r="AMG11" s="125"/>
      <c r="AMH11" s="125"/>
      <c r="AMI11" s="125"/>
      <c r="AMJ11" s="125"/>
      <c r="AMK11" s="125"/>
      <c r="AML11" s="125"/>
      <c r="AMM11" s="125"/>
      <c r="AMN11" s="125"/>
      <c r="AMO11" s="125"/>
      <c r="AMP11" s="125"/>
      <c r="AMQ11" s="125"/>
      <c r="AMR11" s="125"/>
      <c r="AMS11" s="125"/>
      <c r="AMT11" s="125"/>
      <c r="AMU11" s="125"/>
      <c r="AMV11" s="125"/>
      <c r="AMW11" s="125"/>
      <c r="AMX11" s="125"/>
      <c r="AMY11" s="125"/>
      <c r="AMZ11" s="125"/>
      <c r="ANA11" s="125"/>
      <c r="ANB11" s="125"/>
      <c r="ANC11" s="125"/>
      <c r="AND11" s="125"/>
      <c r="ANE11" s="125"/>
      <c r="ANF11" s="125"/>
      <c r="ANG11" s="125"/>
      <c r="ANH11" s="125"/>
      <c r="ANI11" s="125"/>
      <c r="ANJ11" s="125"/>
      <c r="ANK11" s="125"/>
      <c r="ANL11" s="125"/>
      <c r="ANM11" s="125"/>
      <c r="ANN11" s="125"/>
      <c r="ANO11" s="125"/>
      <c r="ANP11" s="125"/>
      <c r="ANQ11" s="125"/>
      <c r="ANR11" s="125"/>
      <c r="ANS11" s="125"/>
      <c r="ANT11" s="125"/>
      <c r="ANU11" s="125"/>
      <c r="ANV11" s="125"/>
      <c r="ANW11" s="125"/>
      <c r="ANX11" s="125"/>
      <c r="ANY11" s="125"/>
      <c r="ANZ11" s="125"/>
      <c r="AOA11" s="125"/>
      <c r="AOB11" s="125"/>
      <c r="AOC11" s="125"/>
      <c r="AOD11" s="125"/>
      <c r="AOE11" s="125"/>
      <c r="AOF11" s="125"/>
      <c r="AOG11" s="125"/>
      <c r="AOH11" s="125"/>
      <c r="AOI11" s="125"/>
      <c r="AOJ11" s="125"/>
      <c r="AOK11" s="125"/>
      <c r="AOL11" s="125"/>
      <c r="AOM11" s="125"/>
      <c r="AON11" s="125"/>
      <c r="AOO11" s="125"/>
      <c r="AOP11" s="125"/>
      <c r="AOQ11" s="125"/>
      <c r="AOR11" s="125"/>
      <c r="AOS11" s="125"/>
      <c r="AOT11" s="125"/>
      <c r="AOU11" s="125"/>
      <c r="AOV11" s="125"/>
      <c r="AOW11" s="125"/>
      <c r="AOX11" s="125"/>
      <c r="AOY11" s="125"/>
      <c r="AOZ11" s="125"/>
      <c r="APA11" s="125"/>
      <c r="APB11" s="125"/>
      <c r="APC11" s="125"/>
      <c r="APD11" s="125"/>
      <c r="APE11" s="125"/>
      <c r="APF11" s="125"/>
      <c r="APG11" s="125"/>
      <c r="APH11" s="125"/>
      <c r="API11" s="125"/>
      <c r="APJ11" s="125"/>
      <c r="APK11" s="125"/>
      <c r="APL11" s="125"/>
      <c r="APM11" s="125"/>
      <c r="APN11" s="125"/>
      <c r="APO11" s="125"/>
      <c r="APP11" s="125"/>
      <c r="APQ11" s="125"/>
      <c r="APR11" s="125"/>
      <c r="APS11" s="125"/>
      <c r="APT11" s="125"/>
      <c r="APU11" s="125"/>
      <c r="APV11" s="125"/>
      <c r="APW11" s="125"/>
      <c r="APX11" s="125"/>
      <c r="APY11" s="125"/>
      <c r="APZ11" s="125"/>
      <c r="AQA11" s="125"/>
      <c r="AQB11" s="125"/>
      <c r="AQC11" s="125"/>
      <c r="AQD11" s="125"/>
      <c r="AQE11" s="125"/>
      <c r="AQF11" s="125"/>
      <c r="AQG11" s="125"/>
      <c r="AQH11" s="125"/>
      <c r="AQI11" s="125"/>
      <c r="AQJ11" s="125"/>
      <c r="AQK11" s="125"/>
      <c r="AQL11" s="125"/>
      <c r="AQM11" s="125"/>
      <c r="AQN11" s="125"/>
      <c r="AQO11" s="125"/>
      <c r="AQP11" s="125"/>
      <c r="AQQ11" s="125"/>
      <c r="AQR11" s="125"/>
      <c r="AQS11" s="125"/>
      <c r="AQT11" s="125"/>
      <c r="AQU11" s="125"/>
      <c r="AQV11" s="125"/>
      <c r="AQW11" s="125"/>
      <c r="AQX11" s="125"/>
      <c r="AQY11" s="125"/>
      <c r="AQZ11" s="125"/>
      <c r="ARA11" s="125"/>
      <c r="ARB11" s="125"/>
      <c r="ARC11" s="125"/>
      <c r="ARD11" s="125"/>
      <c r="ARE11" s="125"/>
      <c r="ARF11" s="125"/>
      <c r="ARG11" s="125"/>
      <c r="ARH11" s="125"/>
      <c r="ARI11" s="125"/>
      <c r="ARJ11" s="125"/>
      <c r="ARK11" s="125"/>
      <c r="ARL11" s="125"/>
      <c r="ARM11" s="125"/>
      <c r="ARN11" s="125"/>
      <c r="ARO11" s="125"/>
      <c r="ARP11" s="125"/>
      <c r="ARQ11" s="125"/>
      <c r="ARR11" s="125"/>
      <c r="ARS11" s="125"/>
      <c r="ART11" s="125"/>
      <c r="ARU11" s="125"/>
      <c r="ARV11" s="125"/>
      <c r="ARW11" s="125"/>
      <c r="ARX11" s="125"/>
      <c r="ARY11" s="125"/>
      <c r="ARZ11" s="125"/>
      <c r="ASA11" s="125"/>
      <c r="ASB11" s="125"/>
      <c r="ASC11" s="125"/>
      <c r="ASD11" s="125"/>
      <c r="ASE11" s="125"/>
      <c r="ASF11" s="125"/>
      <c r="ASG11" s="125"/>
      <c r="ASH11" s="125"/>
      <c r="ASI11" s="125"/>
      <c r="ASJ11" s="125"/>
      <c r="ASK11" s="125"/>
      <c r="ASL11" s="125"/>
      <c r="ASM11" s="125"/>
      <c r="ASN11" s="125"/>
      <c r="ASO11" s="125"/>
      <c r="ASP11" s="125"/>
      <c r="ASQ11" s="125"/>
      <c r="ASR11" s="125"/>
      <c r="ASS11" s="125"/>
      <c r="AST11" s="125"/>
      <c r="ASU11" s="125"/>
      <c r="ASV11" s="125"/>
      <c r="ASW11" s="125"/>
      <c r="ASX11" s="125"/>
      <c r="ASY11" s="125"/>
      <c r="ASZ11" s="125"/>
      <c r="ATA11" s="125"/>
      <c r="ATB11" s="125"/>
      <c r="ATC11" s="125"/>
      <c r="ATD11" s="125"/>
      <c r="ATE11" s="125"/>
      <c r="ATF11" s="125"/>
      <c r="ATG11" s="125"/>
      <c r="ATH11" s="125"/>
      <c r="ATI11" s="125"/>
      <c r="ATJ11" s="125"/>
      <c r="ATK11" s="125"/>
      <c r="ATL11" s="125"/>
      <c r="ATM11" s="125"/>
      <c r="ATN11" s="125"/>
      <c r="ATO11" s="125"/>
      <c r="ATP11" s="125"/>
      <c r="ATQ11" s="125"/>
      <c r="ATR11" s="125"/>
      <c r="ATS11" s="125"/>
      <c r="ATT11" s="125"/>
      <c r="ATU11" s="125"/>
      <c r="ATV11" s="125"/>
      <c r="ATW11" s="125"/>
      <c r="ATX11" s="125"/>
      <c r="ATY11" s="125"/>
      <c r="ATZ11" s="125"/>
      <c r="AUA11" s="125"/>
      <c r="AUB11" s="125"/>
      <c r="AUC11" s="125"/>
      <c r="AUD11" s="125"/>
      <c r="AUE11" s="125"/>
      <c r="AUF11" s="125"/>
      <c r="AUG11" s="125"/>
      <c r="AUH11" s="125"/>
      <c r="AUI11" s="125"/>
      <c r="AUJ11" s="125"/>
      <c r="AUK11" s="125"/>
      <c r="AUL11" s="125"/>
      <c r="AUM11" s="125"/>
      <c r="AUN11" s="125"/>
      <c r="AUO11" s="125"/>
      <c r="AUP11" s="125"/>
      <c r="AUQ11" s="125"/>
      <c r="AUR11" s="125"/>
      <c r="AUS11" s="125"/>
      <c r="AUT11" s="125"/>
      <c r="AUU11" s="125"/>
      <c r="AUV11" s="125"/>
      <c r="AUW11" s="125"/>
      <c r="AUX11" s="125"/>
      <c r="AUY11" s="125"/>
      <c r="AUZ11" s="125"/>
      <c r="AVA11" s="125"/>
      <c r="AVB11" s="125"/>
      <c r="AVC11" s="125"/>
      <c r="AVD11" s="125"/>
      <c r="AVE11" s="125"/>
      <c r="AVF11" s="125"/>
      <c r="AVG11" s="125"/>
      <c r="AVH11" s="125"/>
      <c r="AVI11" s="125"/>
      <c r="AVJ11" s="125"/>
      <c r="AVK11" s="125"/>
      <c r="AVL11" s="125"/>
      <c r="AVM11" s="125"/>
      <c r="AVN11" s="125"/>
      <c r="AVO11" s="125"/>
      <c r="AVP11" s="125"/>
      <c r="AVQ11" s="125"/>
      <c r="AVR11" s="125"/>
      <c r="AVS11" s="125"/>
      <c r="AVT11" s="125"/>
      <c r="AVU11" s="125"/>
      <c r="AVV11" s="125"/>
      <c r="AVW11" s="125"/>
      <c r="AVX11" s="125"/>
      <c r="AVY11" s="125"/>
      <c r="AVZ11" s="125"/>
      <c r="AWA11" s="125"/>
      <c r="AWB11" s="125"/>
      <c r="AWC11" s="125"/>
      <c r="AWD11" s="125"/>
      <c r="AWE11" s="125"/>
      <c r="AWF11" s="125"/>
      <c r="AWG11" s="125"/>
      <c r="AWH11" s="125"/>
      <c r="AWI11" s="125"/>
      <c r="AWJ11" s="125"/>
      <c r="AWK11" s="125"/>
      <c r="AWL11" s="125"/>
      <c r="AWM11" s="125"/>
      <c r="AWN11" s="125"/>
      <c r="AWO11" s="125"/>
      <c r="AWP11" s="125"/>
      <c r="AWQ11" s="125"/>
      <c r="AWR11" s="125"/>
      <c r="AWS11" s="125"/>
      <c r="AWT11" s="125"/>
      <c r="AWU11" s="125"/>
      <c r="AWV11" s="125"/>
      <c r="AWW11" s="125"/>
      <c r="AWX11" s="125"/>
      <c r="AWY11" s="125"/>
      <c r="AWZ11" s="125"/>
      <c r="AXA11" s="125"/>
      <c r="AXB11" s="125"/>
      <c r="AXC11" s="125"/>
      <c r="AXD11" s="125"/>
      <c r="AXE11" s="125"/>
      <c r="AXF11" s="125"/>
      <c r="AXG11" s="125"/>
      <c r="AXH11" s="125"/>
      <c r="AXI11" s="125"/>
      <c r="AXJ11" s="125"/>
      <c r="AXK11" s="125"/>
      <c r="AXL11" s="125"/>
      <c r="AXM11" s="125"/>
      <c r="AXN11" s="125"/>
      <c r="AXO11" s="125"/>
      <c r="AXP11" s="125"/>
      <c r="AXQ11" s="125"/>
      <c r="AXR11" s="125"/>
      <c r="AXS11" s="125"/>
      <c r="AXT11" s="125"/>
      <c r="AXU11" s="125"/>
      <c r="AXV11" s="125"/>
      <c r="AXW11" s="125"/>
      <c r="AXX11" s="125"/>
      <c r="AXY11" s="125"/>
      <c r="AXZ11" s="125"/>
      <c r="AYA11" s="125"/>
      <c r="AYB11" s="125"/>
      <c r="AYC11" s="125"/>
      <c r="AYD11" s="125"/>
      <c r="AYE11" s="125"/>
      <c r="AYF11" s="125"/>
      <c r="AYG11" s="125"/>
      <c r="AYH11" s="125"/>
      <c r="AYI11" s="125"/>
      <c r="AYJ11" s="125"/>
      <c r="AYK11" s="125"/>
      <c r="AYL11" s="125"/>
      <c r="AYM11" s="125"/>
      <c r="AYN11" s="125"/>
      <c r="AYO11" s="125"/>
      <c r="AYP11" s="125"/>
      <c r="AYQ11" s="125"/>
      <c r="AYR11" s="125"/>
      <c r="AYS11" s="125"/>
      <c r="AYT11" s="125"/>
      <c r="AYU11" s="125"/>
      <c r="AYV11" s="125"/>
      <c r="AYW11" s="125"/>
      <c r="AYX11" s="125"/>
      <c r="AYY11" s="125"/>
      <c r="AYZ11" s="125"/>
      <c r="AZA11" s="125"/>
      <c r="AZB11" s="125"/>
      <c r="AZC11" s="125"/>
      <c r="AZD11" s="125"/>
      <c r="AZE11" s="125"/>
      <c r="AZF11" s="125"/>
      <c r="AZG11" s="125"/>
      <c r="AZH11" s="125"/>
      <c r="AZI11" s="125"/>
      <c r="AZJ11" s="125"/>
      <c r="AZK11" s="125"/>
      <c r="AZL11" s="125"/>
      <c r="AZM11" s="125"/>
      <c r="AZN11" s="125"/>
      <c r="AZO11" s="125"/>
      <c r="AZP11" s="125"/>
      <c r="AZQ11" s="125"/>
      <c r="AZR11" s="125"/>
      <c r="AZS11" s="125"/>
      <c r="AZT11" s="125"/>
      <c r="AZU11" s="125"/>
      <c r="AZV11" s="125"/>
      <c r="AZW11" s="125"/>
      <c r="AZX11" s="125"/>
      <c r="AZY11" s="125"/>
      <c r="AZZ11" s="125"/>
      <c r="BAA11" s="125"/>
      <c r="BAB11" s="125"/>
      <c r="BAC11" s="125"/>
      <c r="BAD11" s="125"/>
      <c r="BAE11" s="125"/>
      <c r="BAF11" s="125"/>
      <c r="BAG11" s="125"/>
      <c r="BAH11" s="125"/>
      <c r="BAI11" s="125"/>
      <c r="BAJ11" s="125"/>
      <c r="BAK11" s="125"/>
      <c r="BAL11" s="125"/>
      <c r="BAM11" s="125"/>
      <c r="BAN11" s="125"/>
      <c r="BAO11" s="125"/>
      <c r="BAP11" s="125"/>
      <c r="BAQ11" s="125"/>
      <c r="BAR11" s="125"/>
      <c r="BAS11" s="125"/>
      <c r="BAT11" s="125"/>
      <c r="BAU11" s="125"/>
      <c r="BAV11" s="125"/>
      <c r="BAW11" s="125"/>
      <c r="BAX11" s="125"/>
      <c r="BAY11" s="125"/>
      <c r="BAZ11" s="125"/>
      <c r="BBA11" s="125"/>
      <c r="BBB11" s="125"/>
      <c r="BBC11" s="125"/>
      <c r="BBD11" s="125"/>
      <c r="BBE11" s="125"/>
      <c r="BBF11" s="125"/>
      <c r="BBG11" s="125"/>
      <c r="BBH11" s="125"/>
      <c r="BBI11" s="125"/>
      <c r="BBJ11" s="125"/>
      <c r="BBK11" s="125"/>
      <c r="BBL11" s="125"/>
      <c r="BBM11" s="125"/>
      <c r="BBN11" s="125"/>
      <c r="BBO11" s="125"/>
      <c r="BBP11" s="125"/>
      <c r="BBQ11" s="125"/>
      <c r="BBR11" s="125"/>
      <c r="BBS11" s="125"/>
      <c r="BBT11" s="125"/>
      <c r="BBU11" s="125"/>
      <c r="BBV11" s="125"/>
      <c r="BBW11" s="125"/>
      <c r="BBX11" s="125"/>
      <c r="BBY11" s="125"/>
      <c r="BBZ11" s="125"/>
      <c r="BCA11" s="125"/>
      <c r="BCB11" s="125"/>
      <c r="BCC11" s="125"/>
      <c r="BCD11" s="125"/>
      <c r="BCE11" s="125"/>
      <c r="BCF11" s="125"/>
      <c r="BCG11" s="125"/>
      <c r="BCH11" s="125"/>
      <c r="BCI11" s="125"/>
      <c r="BCJ11" s="125"/>
      <c r="BCK11" s="125"/>
      <c r="BCL11" s="125"/>
      <c r="BCM11" s="125"/>
      <c r="BCN11" s="125"/>
      <c r="BCO11" s="125"/>
      <c r="BCP11" s="125"/>
      <c r="BCQ11" s="125"/>
      <c r="BCR11" s="125"/>
      <c r="BCS11" s="125"/>
      <c r="BCT11" s="125"/>
      <c r="BCU11" s="125"/>
      <c r="BCV11" s="125"/>
      <c r="BCW11" s="125"/>
      <c r="BCX11" s="125"/>
      <c r="BCY11" s="125"/>
      <c r="BCZ11" s="125"/>
      <c r="BDA11" s="125"/>
      <c r="BDB11" s="125"/>
      <c r="BDC11" s="125"/>
      <c r="BDD11" s="125"/>
      <c r="BDE11" s="125"/>
      <c r="BDF11" s="125"/>
      <c r="BDG11" s="125"/>
      <c r="BDH11" s="125"/>
      <c r="BDI11" s="125"/>
      <c r="BDJ11" s="125"/>
      <c r="BDK11" s="125"/>
      <c r="BDL11" s="125"/>
      <c r="BDM11" s="125"/>
      <c r="BDN11" s="125"/>
      <c r="BDO11" s="125"/>
      <c r="BDP11" s="125"/>
      <c r="BDQ11" s="125"/>
      <c r="BDR11" s="125"/>
      <c r="BDS11" s="125"/>
      <c r="BDT11" s="125"/>
      <c r="BDU11" s="125"/>
      <c r="BDV11" s="125"/>
      <c r="BDW11" s="125"/>
      <c r="BDX11" s="125"/>
      <c r="BDY11" s="125"/>
      <c r="BDZ11" s="125"/>
      <c r="BEA11" s="125"/>
      <c r="BEB11" s="125"/>
      <c r="BEC11" s="125"/>
      <c r="BED11" s="125"/>
      <c r="BEE11" s="125"/>
      <c r="BEF11" s="125"/>
      <c r="BEG11" s="125"/>
      <c r="BEH11" s="125"/>
      <c r="BEI11" s="125"/>
      <c r="BEJ11" s="125"/>
      <c r="BEK11" s="125"/>
      <c r="BEL11" s="125"/>
      <c r="BEM11" s="125"/>
      <c r="BEN11" s="125"/>
      <c r="BEO11" s="125"/>
      <c r="BEP11" s="125"/>
      <c r="BEQ11" s="125"/>
      <c r="BER11" s="125"/>
      <c r="BES11" s="125"/>
      <c r="BET11" s="125"/>
      <c r="BEU11" s="125"/>
      <c r="BEV11" s="125"/>
      <c r="BEW11" s="125"/>
      <c r="BEX11" s="125"/>
      <c r="BEY11" s="125"/>
      <c r="BEZ11" s="125"/>
      <c r="BFA11" s="125"/>
      <c r="BFB11" s="125"/>
      <c r="BFC11" s="125"/>
      <c r="BFD11" s="125"/>
      <c r="BFE11" s="125"/>
      <c r="BFF11" s="125"/>
      <c r="BFG11" s="125"/>
      <c r="BFH11" s="125"/>
      <c r="BFI11" s="125"/>
      <c r="BFJ11" s="125"/>
      <c r="BFK11" s="125"/>
      <c r="BFL11" s="125"/>
      <c r="BFM11" s="125"/>
      <c r="BFN11" s="125"/>
      <c r="BFO11" s="125"/>
      <c r="BFP11" s="125"/>
      <c r="BFQ11" s="125"/>
      <c r="BFR11" s="125"/>
      <c r="BFS11" s="125"/>
      <c r="BFT11" s="125"/>
      <c r="BFU11" s="125"/>
      <c r="BFV11" s="125"/>
      <c r="BFW11" s="125"/>
      <c r="BFX11" s="125"/>
      <c r="BFY11" s="125"/>
      <c r="BFZ11" s="125"/>
      <c r="BGA11" s="125"/>
      <c r="BGB11" s="125"/>
      <c r="BGC11" s="125"/>
      <c r="BGD11" s="125"/>
      <c r="BGE11" s="125"/>
      <c r="BGF11" s="125"/>
      <c r="BGG11" s="125"/>
      <c r="BGH11" s="125"/>
      <c r="BGI11" s="125"/>
      <c r="BGJ11" s="125"/>
      <c r="BGK11" s="125"/>
      <c r="BGL11" s="125"/>
      <c r="BGM11" s="125"/>
      <c r="BGN11" s="125"/>
      <c r="BGO11" s="125"/>
      <c r="BGP11" s="125"/>
      <c r="BGQ11" s="125"/>
      <c r="BGR11" s="125"/>
      <c r="BGS11" s="125"/>
      <c r="BGT11" s="125"/>
      <c r="BGU11" s="125"/>
      <c r="BGV11" s="125"/>
      <c r="BGW11" s="125"/>
      <c r="BGX11" s="125"/>
      <c r="BGY11" s="125"/>
      <c r="BGZ11" s="125"/>
      <c r="BHA11" s="125"/>
      <c r="BHB11" s="125"/>
      <c r="BHC11" s="125"/>
      <c r="BHD11" s="125"/>
      <c r="BHE11" s="125"/>
      <c r="BHF11" s="125"/>
      <c r="BHG11" s="125"/>
      <c r="BHH11" s="125"/>
      <c r="BHI11" s="125"/>
      <c r="BHJ11" s="125"/>
      <c r="BHK11" s="125"/>
      <c r="BHL11" s="125"/>
      <c r="BHM11" s="125"/>
      <c r="BHN11" s="125"/>
      <c r="BHO11" s="125"/>
      <c r="BHP11" s="125"/>
      <c r="BHQ11" s="125"/>
      <c r="BHR11" s="125"/>
      <c r="BHS11" s="125"/>
      <c r="BHT11" s="125"/>
      <c r="BHU11" s="125"/>
      <c r="BHV11" s="125"/>
      <c r="BHW11" s="125"/>
      <c r="BHX11" s="125"/>
      <c r="BHY11" s="125"/>
      <c r="BHZ11" s="125"/>
      <c r="BIA11" s="125"/>
      <c r="BIB11" s="125"/>
      <c r="BIC11" s="125"/>
      <c r="BID11" s="125"/>
      <c r="BIE11" s="125"/>
      <c r="BIF11" s="125"/>
      <c r="BIG11" s="125"/>
      <c r="BIH11" s="125"/>
      <c r="BII11" s="125"/>
      <c r="BIJ11" s="125"/>
      <c r="BIK11" s="125"/>
      <c r="BIL11" s="125"/>
      <c r="BIM11" s="125"/>
      <c r="BIN11" s="125"/>
      <c r="BIO11" s="125"/>
      <c r="BIP11" s="125"/>
      <c r="BIQ11" s="125"/>
      <c r="BIR11" s="125"/>
      <c r="BIS11" s="125"/>
      <c r="BIT11" s="125"/>
      <c r="BIU11" s="125"/>
      <c r="BIV11" s="125"/>
      <c r="BIW11" s="125"/>
      <c r="BIX11" s="125"/>
      <c r="BIY11" s="125"/>
      <c r="BIZ11" s="125"/>
      <c r="BJA11" s="125"/>
      <c r="BJB11" s="125"/>
      <c r="BJC11" s="125"/>
      <c r="BJD11" s="125"/>
      <c r="BJE11" s="125"/>
      <c r="BJF11" s="125"/>
      <c r="BJG11" s="125"/>
      <c r="BJH11" s="125"/>
      <c r="BJI11" s="125"/>
      <c r="BJJ11" s="125"/>
      <c r="BJK11" s="125"/>
      <c r="BJL11" s="125"/>
      <c r="BJM11" s="125"/>
      <c r="BJN11" s="125"/>
      <c r="BJO11" s="125"/>
      <c r="BJP11" s="125"/>
      <c r="BJQ11" s="125"/>
      <c r="BJR11" s="125"/>
      <c r="BJS11" s="125"/>
      <c r="BJT11" s="125"/>
      <c r="BJU11" s="125"/>
      <c r="BJV11" s="125"/>
      <c r="BJW11" s="125"/>
      <c r="BJX11" s="125"/>
      <c r="BJY11" s="125"/>
      <c r="BJZ11" s="125"/>
      <c r="BKA11" s="125"/>
      <c r="BKB11" s="125"/>
      <c r="BKC11" s="125"/>
      <c r="BKD11" s="125"/>
      <c r="BKE11" s="125"/>
      <c r="BKF11" s="125"/>
      <c r="BKG11" s="125"/>
      <c r="BKH11" s="125"/>
      <c r="BKI11" s="125"/>
      <c r="BKJ11" s="125"/>
      <c r="BKK11" s="125"/>
      <c r="BKL11" s="125"/>
      <c r="BKM11" s="125"/>
      <c r="BKN11" s="125"/>
      <c r="BKO11" s="125"/>
      <c r="BKP11" s="125"/>
      <c r="BKQ11" s="125"/>
      <c r="BKR11" s="125"/>
      <c r="BKS11" s="125"/>
      <c r="BKT11" s="125"/>
      <c r="BKU11" s="125"/>
      <c r="BKV11" s="125"/>
      <c r="BKW11" s="125"/>
      <c r="BKX11" s="125"/>
      <c r="BKY11" s="125"/>
      <c r="BKZ11" s="125"/>
      <c r="BLA11" s="125"/>
      <c r="BLB11" s="125"/>
      <c r="BLC11" s="125"/>
      <c r="BLD11" s="125"/>
      <c r="BLE11" s="125"/>
      <c r="BLF11" s="125"/>
      <c r="BLG11" s="125"/>
      <c r="BLH11" s="125"/>
      <c r="BLI11" s="125"/>
      <c r="BLJ11" s="125"/>
      <c r="BLK11" s="125"/>
      <c r="BLL11" s="125"/>
      <c r="BLM11" s="125"/>
      <c r="BLN11" s="125"/>
      <c r="BLO11" s="125"/>
      <c r="BLP11" s="125"/>
      <c r="BLQ11" s="125"/>
      <c r="BLR11" s="125"/>
      <c r="BLS11" s="125"/>
      <c r="BLT11" s="125"/>
      <c r="BLU11" s="125"/>
      <c r="BLV11" s="125"/>
      <c r="BLW11" s="125"/>
      <c r="BLX11" s="125"/>
      <c r="BLY11" s="125"/>
      <c r="BLZ11" s="125"/>
      <c r="BMA11" s="125"/>
      <c r="BMB11" s="125"/>
      <c r="BMC11" s="125"/>
      <c r="BMD11" s="125"/>
      <c r="BME11" s="125"/>
      <c r="BMF11" s="125"/>
      <c r="BMG11" s="125"/>
      <c r="BMH11" s="125"/>
      <c r="BMI11" s="125"/>
      <c r="BMJ11" s="125"/>
      <c r="BMK11" s="125"/>
      <c r="BML11" s="125"/>
      <c r="BMM11" s="125"/>
      <c r="BMN11" s="125"/>
      <c r="BMO11" s="125"/>
      <c r="BMP11" s="125"/>
      <c r="BMQ11" s="125"/>
      <c r="BMR11" s="125"/>
      <c r="BMS11" s="125"/>
      <c r="BMT11" s="125"/>
      <c r="BMU11" s="125"/>
      <c r="BMV11" s="125"/>
      <c r="BMW11" s="125"/>
      <c r="BMX11" s="125"/>
      <c r="BMY11" s="125"/>
      <c r="BMZ11" s="125"/>
      <c r="BNA11" s="125"/>
      <c r="BNB11" s="125"/>
      <c r="BNC11" s="125"/>
      <c r="BND11" s="125"/>
      <c r="BNE11" s="125"/>
      <c r="BNF11" s="125"/>
      <c r="BNG11" s="125"/>
      <c r="BNH11" s="125"/>
      <c r="BNI11" s="125"/>
      <c r="BNJ11" s="125"/>
      <c r="BNK11" s="125"/>
      <c r="BNL11" s="125"/>
      <c r="BNM11" s="125"/>
      <c r="BNN11" s="125"/>
      <c r="BNO11" s="125"/>
      <c r="BNP11" s="125"/>
      <c r="BNQ11" s="125"/>
      <c r="BNR11" s="125"/>
      <c r="BNS11" s="125"/>
      <c r="BNT11" s="125"/>
      <c r="BNU11" s="125"/>
      <c r="BNV11" s="125"/>
      <c r="BNW11" s="125"/>
      <c r="BNX11" s="125"/>
      <c r="BNY11" s="125"/>
      <c r="BNZ11" s="125"/>
      <c r="BOA11" s="125"/>
      <c r="BOB11" s="125"/>
      <c r="BOC11" s="125"/>
      <c r="BOD11" s="125"/>
      <c r="BOE11" s="125"/>
      <c r="BOF11" s="125"/>
      <c r="BOG11" s="125"/>
      <c r="BOH11" s="125"/>
      <c r="BOI11" s="125"/>
      <c r="BOJ11" s="125"/>
      <c r="BOK11" s="125"/>
      <c r="BOL11" s="125"/>
      <c r="BOM11" s="125"/>
      <c r="BON11" s="125"/>
      <c r="BOO11" s="125"/>
      <c r="BOP11" s="125"/>
      <c r="BOQ11" s="125"/>
      <c r="BOR11" s="125"/>
      <c r="BOS11" s="125"/>
      <c r="BOT11" s="125"/>
      <c r="BOU11" s="125"/>
      <c r="BOV11" s="125"/>
      <c r="BOW11" s="125"/>
      <c r="BOX11" s="125"/>
      <c r="BOY11" s="125"/>
      <c r="BOZ11" s="125"/>
      <c r="BPA11" s="125"/>
      <c r="BPB11" s="125"/>
      <c r="BPC11" s="125"/>
      <c r="BPD11" s="125"/>
      <c r="BPE11" s="125"/>
      <c r="BPF11" s="125"/>
      <c r="BPG11" s="125"/>
      <c r="BPH11" s="125"/>
      <c r="BPI11" s="125"/>
      <c r="BPJ11" s="125"/>
      <c r="BPK11" s="125"/>
      <c r="BPL11" s="125"/>
      <c r="BPM11" s="125"/>
      <c r="BPN11" s="125"/>
      <c r="BPO11" s="125"/>
      <c r="BPP11" s="125"/>
      <c r="BPQ11" s="125"/>
      <c r="BPR11" s="125"/>
      <c r="BPS11" s="125"/>
      <c r="BPT11" s="125"/>
      <c r="BPU11" s="125"/>
      <c r="BPV11" s="125"/>
      <c r="BPW11" s="125"/>
      <c r="BPX11" s="125"/>
      <c r="BPY11" s="125"/>
      <c r="BPZ11" s="125"/>
      <c r="BQA11" s="125"/>
      <c r="BQB11" s="125"/>
      <c r="BQC11" s="125"/>
      <c r="BQD11" s="125"/>
      <c r="BQE11" s="125"/>
      <c r="BQF11" s="125"/>
      <c r="BQG11" s="125"/>
      <c r="BQH11" s="125"/>
      <c r="BQI11" s="125"/>
      <c r="BQJ11" s="125"/>
      <c r="BQK11" s="125"/>
      <c r="BQL11" s="125"/>
      <c r="BQM11" s="125"/>
      <c r="BQN11" s="125"/>
      <c r="BQO11" s="125"/>
      <c r="BQP11" s="125"/>
      <c r="BQQ11" s="125"/>
      <c r="BQR11" s="125"/>
      <c r="BQS11" s="125"/>
      <c r="BQT11" s="125"/>
      <c r="BQU11" s="125"/>
      <c r="BQV11" s="125"/>
      <c r="BQW11" s="125"/>
      <c r="BQX11" s="125"/>
      <c r="BQY11" s="125"/>
      <c r="BQZ11" s="125"/>
      <c r="BRA11" s="125"/>
      <c r="BRB11" s="125"/>
      <c r="BRC11" s="125"/>
      <c r="BRD11" s="125"/>
      <c r="BRE11" s="125"/>
      <c r="BRF11" s="125"/>
      <c r="BRG11" s="125"/>
      <c r="BRH11" s="125"/>
      <c r="BRI11" s="125"/>
      <c r="BRJ11" s="125"/>
      <c r="BRK11" s="125"/>
      <c r="BRL11" s="125"/>
      <c r="BRM11" s="125"/>
      <c r="BRN11" s="125"/>
      <c r="BRO11" s="125"/>
      <c r="BRP11" s="125"/>
      <c r="BRQ11" s="125"/>
      <c r="BRR11" s="125"/>
      <c r="BRS11" s="125"/>
      <c r="BRT11" s="125"/>
      <c r="BRU11" s="125"/>
      <c r="BRV11" s="125"/>
      <c r="BRW11" s="125"/>
      <c r="BRX11" s="125"/>
      <c r="BRY11" s="125"/>
      <c r="BRZ11" s="125"/>
      <c r="BSA11" s="125"/>
      <c r="BSB11" s="125"/>
      <c r="BSC11" s="125"/>
      <c r="BSD11" s="125"/>
      <c r="BSE11" s="125"/>
      <c r="BSF11" s="125"/>
      <c r="BSG11" s="125"/>
      <c r="BSH11" s="125"/>
      <c r="BSI11" s="125"/>
      <c r="BSJ11" s="125"/>
      <c r="BSK11" s="125"/>
      <c r="BSL11" s="125"/>
      <c r="BSM11" s="125"/>
      <c r="BSN11" s="125"/>
      <c r="BSO11" s="125"/>
      <c r="BSP11" s="125"/>
      <c r="BSQ11" s="125"/>
      <c r="BSR11" s="125"/>
      <c r="BSS11" s="125"/>
      <c r="BST11" s="125"/>
      <c r="BSU11" s="125"/>
      <c r="BSV11" s="125"/>
      <c r="BSW11" s="125"/>
      <c r="BSX11" s="125"/>
      <c r="BSY11" s="125"/>
      <c r="BSZ11" s="125"/>
      <c r="BTA11" s="125"/>
      <c r="BTB11" s="125"/>
      <c r="BTC11" s="125"/>
      <c r="BTD11" s="125"/>
      <c r="BTE11" s="125"/>
      <c r="BTF11" s="125"/>
      <c r="BTG11" s="125"/>
      <c r="BTH11" s="125"/>
      <c r="BTI11" s="125"/>
      <c r="BTJ11" s="125"/>
      <c r="BTK11" s="125"/>
      <c r="BTL11" s="125"/>
      <c r="BTM11" s="125"/>
      <c r="BTN11" s="125"/>
      <c r="BTO11" s="125"/>
      <c r="BTP11" s="125"/>
      <c r="BTQ11" s="125"/>
      <c r="BTR11" s="125"/>
      <c r="BTS11" s="125"/>
      <c r="BTT11" s="125"/>
      <c r="BTU11" s="125"/>
      <c r="BTV11" s="125"/>
      <c r="BTW11" s="125"/>
      <c r="BTX11" s="125"/>
      <c r="BTY11" s="125"/>
      <c r="BTZ11" s="125"/>
      <c r="BUA11" s="125"/>
      <c r="BUB11" s="125"/>
      <c r="BUC11" s="125"/>
      <c r="BUD11" s="125"/>
      <c r="BUE11" s="125"/>
      <c r="BUF11" s="125"/>
      <c r="BUG11" s="125"/>
      <c r="BUH11" s="125"/>
      <c r="BUI11" s="125"/>
      <c r="BUJ11" s="125"/>
      <c r="BUK11" s="125"/>
      <c r="BUL11" s="125"/>
      <c r="BUM11" s="125"/>
      <c r="BUN11" s="125"/>
      <c r="BUO11" s="125"/>
      <c r="BUP11" s="125"/>
      <c r="BUQ11" s="125"/>
      <c r="BUR11" s="125"/>
      <c r="BUS11" s="125"/>
      <c r="BUT11" s="125"/>
      <c r="BUU11" s="125"/>
      <c r="BUV11" s="125"/>
      <c r="BUW11" s="125"/>
      <c r="BUX11" s="125"/>
      <c r="BUY11" s="125"/>
      <c r="BUZ11" s="125"/>
      <c r="BVA11" s="125"/>
      <c r="BVB11" s="125"/>
      <c r="BVC11" s="125"/>
      <c r="BVD11" s="125"/>
      <c r="BVE11" s="125"/>
      <c r="BVF11" s="125"/>
      <c r="BVG11" s="125"/>
      <c r="BVH11" s="125"/>
      <c r="BVI11" s="125"/>
      <c r="BVJ11" s="125"/>
      <c r="BVK11" s="125"/>
      <c r="BVL11" s="125"/>
      <c r="BVM11" s="125"/>
      <c r="BVN11" s="125"/>
      <c r="BVO11" s="125"/>
      <c r="BVP11" s="125"/>
      <c r="BVQ11" s="125"/>
      <c r="BVR11" s="125"/>
      <c r="BVS11" s="125"/>
      <c r="BVT11" s="125"/>
      <c r="BVU11" s="125"/>
      <c r="BVV11" s="125"/>
      <c r="BVW11" s="125"/>
      <c r="BVX11" s="125"/>
      <c r="BVY11" s="125"/>
      <c r="BVZ11" s="125"/>
      <c r="BWA11" s="125"/>
      <c r="BWB11" s="125"/>
      <c r="BWC11" s="125"/>
      <c r="BWD11" s="125"/>
      <c r="BWE11" s="125"/>
      <c r="BWF11" s="125"/>
      <c r="BWG11" s="125"/>
      <c r="BWH11" s="125"/>
      <c r="BWI11" s="125"/>
      <c r="BWJ11" s="125"/>
      <c r="BWK11" s="125"/>
      <c r="BWL11" s="125"/>
      <c r="BWM11" s="125"/>
      <c r="BWN11" s="125"/>
      <c r="BWO11" s="125"/>
      <c r="BWP11" s="125"/>
      <c r="BWQ11" s="125"/>
      <c r="BWR11" s="125"/>
      <c r="BWS11" s="125"/>
      <c r="BWT11" s="125"/>
      <c r="BWU11" s="125"/>
      <c r="BWV11" s="125"/>
      <c r="BWW11" s="125"/>
      <c r="BWX11" s="125"/>
      <c r="BWY11" s="125"/>
      <c r="BWZ11" s="125"/>
      <c r="BXA11" s="125"/>
      <c r="BXB11" s="125"/>
      <c r="BXC11" s="125"/>
      <c r="BXD11" s="125"/>
      <c r="BXE11" s="125"/>
      <c r="BXF11" s="125"/>
      <c r="BXG11" s="125"/>
      <c r="BXH11" s="125"/>
      <c r="BXI11" s="125"/>
      <c r="BXJ11" s="125"/>
      <c r="BXK11" s="125"/>
      <c r="BXL11" s="125"/>
      <c r="BXM11" s="125"/>
      <c r="BXN11" s="125"/>
      <c r="BXO11" s="125"/>
      <c r="BXP11" s="125"/>
      <c r="BXQ11" s="125"/>
      <c r="BXR11" s="125"/>
      <c r="BXS11" s="125"/>
      <c r="BXT11" s="125"/>
      <c r="BXU11" s="125"/>
      <c r="BXV11" s="125"/>
      <c r="BXW11" s="125"/>
      <c r="BXX11" s="125"/>
      <c r="BXY11" s="125"/>
      <c r="BXZ11" s="125"/>
      <c r="BYA11" s="125"/>
      <c r="BYB11" s="125"/>
      <c r="BYC11" s="125"/>
      <c r="BYD11" s="125"/>
      <c r="BYE11" s="125"/>
      <c r="BYF11" s="125"/>
      <c r="BYG11" s="125"/>
      <c r="BYH11" s="125"/>
      <c r="BYI11" s="125"/>
      <c r="BYJ11" s="125"/>
      <c r="BYK11" s="125"/>
      <c r="BYL11" s="125"/>
      <c r="BYM11" s="125"/>
      <c r="BYN11" s="125"/>
      <c r="BYO11" s="125"/>
      <c r="BYP11" s="125"/>
      <c r="BYQ11" s="125"/>
      <c r="BYR11" s="125"/>
      <c r="BYS11" s="125"/>
      <c r="BYT11" s="125"/>
      <c r="BYU11" s="125"/>
      <c r="BYV11" s="125"/>
      <c r="BYW11" s="125"/>
      <c r="BYX11" s="125"/>
      <c r="BYY11" s="125"/>
      <c r="BYZ11" s="125"/>
      <c r="BZA11" s="125"/>
      <c r="BZB11" s="125"/>
      <c r="BZC11" s="125"/>
      <c r="BZD11" s="125"/>
      <c r="BZE11" s="125"/>
      <c r="BZF11" s="125"/>
      <c r="BZG11" s="125"/>
      <c r="BZH11" s="125"/>
      <c r="BZI11" s="125"/>
      <c r="BZJ11" s="125"/>
      <c r="BZK11" s="125"/>
      <c r="BZL11" s="125"/>
      <c r="BZM11" s="125"/>
      <c r="BZN11" s="125"/>
      <c r="BZO11" s="125"/>
      <c r="BZP11" s="125"/>
      <c r="BZQ11" s="125"/>
      <c r="BZR11" s="125"/>
      <c r="BZS11" s="125"/>
      <c r="BZT11" s="125"/>
      <c r="BZU11" s="125"/>
      <c r="BZV11" s="125"/>
      <c r="BZW11" s="125"/>
      <c r="BZX11" s="125"/>
      <c r="BZY11" s="125"/>
      <c r="BZZ11" s="125"/>
      <c r="CAA11" s="125"/>
      <c r="CAB11" s="125"/>
      <c r="CAC11" s="125"/>
      <c r="CAD11" s="125"/>
      <c r="CAE11" s="125"/>
      <c r="CAF11" s="125"/>
      <c r="CAG11" s="125"/>
      <c r="CAH11" s="125"/>
      <c r="CAI11" s="125"/>
      <c r="CAJ11" s="125"/>
      <c r="CAK11" s="125"/>
      <c r="CAL11" s="125"/>
      <c r="CAM11" s="125"/>
      <c r="CAN11" s="125"/>
      <c r="CAO11" s="125"/>
      <c r="CAP11" s="125"/>
      <c r="CAQ11" s="125"/>
      <c r="CAR11" s="125"/>
      <c r="CAS11" s="125"/>
      <c r="CAT11" s="125"/>
      <c r="CAU11" s="125"/>
      <c r="CAV11" s="125"/>
      <c r="CAW11" s="125"/>
      <c r="CAX11" s="125"/>
      <c r="CAY11" s="125"/>
      <c r="CAZ11" s="125"/>
      <c r="CBA11" s="125"/>
      <c r="CBB11" s="125"/>
      <c r="CBC11" s="125"/>
      <c r="CBD11" s="125"/>
      <c r="CBE11" s="125"/>
      <c r="CBF11" s="125"/>
      <c r="CBG11" s="125"/>
      <c r="CBH11" s="125"/>
      <c r="CBI11" s="125"/>
      <c r="CBJ11" s="125"/>
      <c r="CBK11" s="125"/>
      <c r="CBL11" s="125"/>
      <c r="CBM11" s="125"/>
      <c r="CBN11" s="125"/>
      <c r="CBO11" s="125"/>
      <c r="CBP11" s="125"/>
      <c r="CBQ11" s="125"/>
      <c r="CBR11" s="125"/>
      <c r="CBS11" s="125"/>
      <c r="CBT11" s="125"/>
      <c r="CBU11" s="125"/>
      <c r="CBV11" s="125"/>
      <c r="CBW11" s="125"/>
      <c r="CBX11" s="125"/>
      <c r="CBY11" s="125"/>
      <c r="CBZ11" s="125"/>
      <c r="CCA11" s="125"/>
      <c r="CCB11" s="125"/>
      <c r="CCC11" s="125"/>
      <c r="CCD11" s="125"/>
      <c r="CCE11" s="125"/>
      <c r="CCF11" s="125"/>
      <c r="CCG11" s="125"/>
      <c r="CCH11" s="125"/>
      <c r="CCI11" s="125"/>
      <c r="CCJ11" s="125"/>
      <c r="CCK11" s="125"/>
      <c r="CCL11" s="125"/>
      <c r="CCM11" s="125"/>
      <c r="CCN11" s="125"/>
      <c r="CCO11" s="125"/>
      <c r="CCP11" s="125"/>
      <c r="CCQ11" s="125"/>
      <c r="CCR11" s="125"/>
      <c r="CCS11" s="125"/>
      <c r="CCT11" s="125"/>
      <c r="CCU11" s="125"/>
      <c r="CCV11" s="125"/>
      <c r="CCW11" s="125"/>
      <c r="CCX11" s="125"/>
      <c r="CCY11" s="125"/>
      <c r="CCZ11" s="125"/>
      <c r="CDA11" s="125"/>
      <c r="CDB11" s="125"/>
      <c r="CDC11" s="125"/>
      <c r="CDD11" s="125"/>
      <c r="CDE11" s="125"/>
      <c r="CDF11" s="125"/>
      <c r="CDG11" s="125"/>
      <c r="CDH11" s="125"/>
      <c r="CDI11" s="125"/>
      <c r="CDJ11" s="125"/>
      <c r="CDK11" s="125"/>
      <c r="CDL11" s="125"/>
      <c r="CDM11" s="125"/>
      <c r="CDN11" s="125"/>
      <c r="CDO11" s="125"/>
      <c r="CDP11" s="125"/>
      <c r="CDQ11" s="125"/>
      <c r="CDR11" s="125"/>
      <c r="CDS11" s="125"/>
      <c r="CDT11" s="125"/>
      <c r="CDU11" s="125"/>
      <c r="CDV11" s="125"/>
      <c r="CDW11" s="125"/>
      <c r="CDX11" s="125"/>
      <c r="CDY11" s="125"/>
      <c r="CDZ11" s="125"/>
      <c r="CEA11" s="125"/>
      <c r="CEB11" s="125"/>
      <c r="CEC11" s="125"/>
      <c r="CED11" s="125"/>
      <c r="CEE11" s="125"/>
      <c r="CEF11" s="125"/>
      <c r="CEG11" s="125"/>
      <c r="CEH11" s="125"/>
      <c r="CEI11" s="125"/>
      <c r="CEJ11" s="125"/>
      <c r="CEK11" s="125"/>
      <c r="CEL11" s="125"/>
      <c r="CEM11" s="125"/>
      <c r="CEN11" s="125"/>
      <c r="CEO11" s="125"/>
      <c r="CEP11" s="125"/>
      <c r="CEQ11" s="125"/>
      <c r="CER11" s="125"/>
      <c r="CES11" s="125"/>
      <c r="CET11" s="125"/>
      <c r="CEU11" s="125"/>
      <c r="CEV11" s="125"/>
      <c r="CEW11" s="125"/>
      <c r="CEX11" s="125"/>
      <c r="CEY11" s="125"/>
      <c r="CEZ11" s="125"/>
      <c r="CFA11" s="125"/>
      <c r="CFB11" s="125"/>
      <c r="CFC11" s="125"/>
      <c r="CFD11" s="125"/>
      <c r="CFE11" s="125"/>
      <c r="CFF11" s="125"/>
      <c r="CFG11" s="125"/>
      <c r="CFH11" s="125"/>
      <c r="CFI11" s="125"/>
      <c r="CFJ11" s="125"/>
      <c r="CFK11" s="125"/>
      <c r="CFL11" s="125"/>
      <c r="CFM11" s="125"/>
      <c r="CFN11" s="125"/>
      <c r="CFO11" s="125"/>
      <c r="CFP11" s="125"/>
      <c r="CFQ11" s="125"/>
      <c r="CFR11" s="125"/>
      <c r="CFS11" s="125"/>
      <c r="CFT11" s="125"/>
      <c r="CFU11" s="125"/>
      <c r="CFV11" s="125"/>
      <c r="CFW11" s="125"/>
      <c r="CFX11" s="125"/>
      <c r="CFY11" s="125"/>
      <c r="CFZ11" s="125"/>
      <c r="CGA11" s="125"/>
      <c r="CGB11" s="125"/>
      <c r="CGC11" s="125"/>
      <c r="CGD11" s="125"/>
      <c r="CGE11" s="125"/>
      <c r="CGF11" s="125"/>
      <c r="CGG11" s="125"/>
      <c r="CGH11" s="125"/>
      <c r="CGI11" s="125"/>
      <c r="CGJ11" s="125"/>
      <c r="CGK11" s="125"/>
      <c r="CGL11" s="125"/>
      <c r="CGM11" s="125"/>
      <c r="CGN11" s="125"/>
      <c r="CGO11" s="125"/>
      <c r="CGP11" s="125"/>
      <c r="CGQ11" s="125"/>
      <c r="CGR11" s="125"/>
      <c r="CGS11" s="125"/>
      <c r="CGT11" s="125"/>
      <c r="CGU11" s="125"/>
      <c r="CGV11" s="125"/>
      <c r="CGW11" s="125"/>
      <c r="CGX11" s="125"/>
      <c r="CGY11" s="125"/>
      <c r="CGZ11" s="125"/>
      <c r="CHA11" s="125"/>
      <c r="CHB11" s="125"/>
      <c r="CHC11" s="125"/>
      <c r="CHD11" s="125"/>
      <c r="CHE11" s="125"/>
      <c r="CHF11" s="125"/>
      <c r="CHG11" s="125"/>
      <c r="CHH11" s="125"/>
      <c r="CHI11" s="125"/>
      <c r="CHJ11" s="125"/>
      <c r="CHK11" s="125"/>
      <c r="CHL11" s="125"/>
      <c r="CHM11" s="125"/>
      <c r="CHN11" s="125"/>
      <c r="CHO11" s="125"/>
      <c r="CHP11" s="125"/>
      <c r="CHQ11" s="125"/>
      <c r="CHR11" s="125"/>
      <c r="CHS11" s="125"/>
      <c r="CHT11" s="125"/>
      <c r="CHU11" s="125"/>
      <c r="CHV11" s="125"/>
      <c r="CHW11" s="125"/>
      <c r="CHX11" s="125"/>
      <c r="CHY11" s="125"/>
      <c r="CHZ11" s="125"/>
      <c r="CIA11" s="125"/>
      <c r="CIB11" s="125"/>
      <c r="CIC11" s="125"/>
      <c r="CID11" s="125"/>
      <c r="CIE11" s="125"/>
      <c r="CIF11" s="125"/>
      <c r="CIG11" s="125"/>
      <c r="CIH11" s="125"/>
      <c r="CII11" s="125"/>
      <c r="CIJ11" s="125"/>
      <c r="CIK11" s="125"/>
      <c r="CIL11" s="125"/>
      <c r="CIM11" s="125"/>
      <c r="CIN11" s="125"/>
      <c r="CIO11" s="125"/>
      <c r="CIP11" s="125"/>
      <c r="CIQ11" s="125"/>
      <c r="CIR11" s="125"/>
      <c r="CIS11" s="125"/>
      <c r="CIT11" s="125"/>
      <c r="CIU11" s="125"/>
      <c r="CIV11" s="125"/>
      <c r="CIW11" s="125"/>
      <c r="CIX11" s="125"/>
      <c r="CIY11" s="125"/>
      <c r="CIZ11" s="125"/>
      <c r="CJA11" s="125"/>
      <c r="CJB11" s="125"/>
      <c r="CJC11" s="125"/>
      <c r="CJD11" s="125"/>
      <c r="CJE11" s="125"/>
      <c r="CJF11" s="125"/>
      <c r="CJG11" s="125"/>
      <c r="CJH11" s="125"/>
      <c r="CJI11" s="125"/>
      <c r="CJJ11" s="125"/>
      <c r="CJK11" s="125"/>
      <c r="CJL11" s="125"/>
      <c r="CJM11" s="125"/>
      <c r="CJN11" s="125"/>
      <c r="CJO11" s="125"/>
      <c r="CJP11" s="125"/>
      <c r="CJQ11" s="125"/>
      <c r="CJR11" s="125"/>
      <c r="CJS11" s="125"/>
      <c r="CJT11" s="125"/>
      <c r="CJU11" s="125"/>
      <c r="CJV11" s="125"/>
      <c r="CJW11" s="125"/>
      <c r="CJX11" s="125"/>
      <c r="CJY11" s="125"/>
      <c r="CJZ11" s="125"/>
      <c r="CKA11" s="125"/>
      <c r="CKB11" s="125"/>
      <c r="CKC11" s="125"/>
      <c r="CKD11" s="125"/>
      <c r="CKE11" s="125"/>
      <c r="CKF11" s="125"/>
      <c r="CKG11" s="125"/>
      <c r="CKH11" s="125"/>
      <c r="CKI11" s="125"/>
      <c r="CKJ11" s="125"/>
      <c r="CKK11" s="125"/>
      <c r="CKL11" s="125"/>
      <c r="CKM11" s="125"/>
      <c r="CKN11" s="125"/>
      <c r="CKO11" s="125"/>
      <c r="CKP11" s="125"/>
      <c r="CKQ11" s="125"/>
      <c r="CKR11" s="125"/>
      <c r="CKS11" s="125"/>
      <c r="CKT11" s="125"/>
      <c r="CKU11" s="125"/>
      <c r="CKV11" s="125"/>
      <c r="CKW11" s="125"/>
      <c r="CKX11" s="125"/>
      <c r="CKY11" s="125"/>
      <c r="CKZ11" s="125"/>
      <c r="CLA11" s="125"/>
      <c r="CLB11" s="125"/>
      <c r="CLC11" s="125"/>
      <c r="CLD11" s="125"/>
      <c r="CLE11" s="125"/>
      <c r="CLF11" s="125"/>
      <c r="CLG11" s="125"/>
      <c r="CLH11" s="125"/>
      <c r="CLI11" s="125"/>
      <c r="CLJ11" s="125"/>
      <c r="CLK11" s="125"/>
      <c r="CLL11" s="125"/>
      <c r="CLM11" s="125"/>
      <c r="CLN11" s="125"/>
      <c r="CLO11" s="125"/>
      <c r="CLP11" s="125"/>
      <c r="CLQ11" s="125"/>
      <c r="CLR11" s="125"/>
      <c r="CLS11" s="125"/>
      <c r="CLT11" s="125"/>
      <c r="CLU11" s="125"/>
      <c r="CLV11" s="125"/>
      <c r="CLW11" s="125"/>
      <c r="CLX11" s="125"/>
      <c r="CLY11" s="125"/>
      <c r="CLZ11" s="125"/>
      <c r="CMA11" s="125"/>
      <c r="CMB11" s="125"/>
      <c r="CMC11" s="125"/>
      <c r="CMD11" s="125"/>
      <c r="CME11" s="125"/>
      <c r="CMF11" s="125"/>
      <c r="CMG11" s="125"/>
      <c r="CMH11" s="125"/>
      <c r="CMI11" s="125"/>
      <c r="CMJ11" s="125"/>
      <c r="CMK11" s="125"/>
      <c r="CML11" s="125"/>
      <c r="CMM11" s="125"/>
      <c r="CMN11" s="125"/>
      <c r="CMO11" s="125"/>
      <c r="CMP11" s="125"/>
      <c r="CMQ11" s="125"/>
      <c r="CMR11" s="125"/>
      <c r="CMS11" s="125"/>
      <c r="CMT11" s="125"/>
      <c r="CMU11" s="125"/>
      <c r="CMV11" s="125"/>
      <c r="CMW11" s="125"/>
      <c r="CMX11" s="125"/>
      <c r="CMY11" s="125"/>
      <c r="CMZ11" s="125"/>
      <c r="CNA11" s="125"/>
      <c r="CNB11" s="125"/>
      <c r="CNC11" s="125"/>
      <c r="CND11" s="125"/>
      <c r="CNE11" s="125"/>
      <c r="CNF11" s="125"/>
      <c r="CNG11" s="125"/>
      <c r="CNH11" s="125"/>
      <c r="CNI11" s="125"/>
      <c r="CNJ11" s="125"/>
      <c r="CNK11" s="125"/>
      <c r="CNL11" s="125"/>
      <c r="CNM11" s="125"/>
      <c r="CNN11" s="125"/>
      <c r="CNO11" s="125"/>
      <c r="CNP11" s="125"/>
      <c r="CNQ11" s="125"/>
      <c r="CNR11" s="125"/>
      <c r="CNS11" s="125"/>
      <c r="CNT11" s="125"/>
      <c r="CNU11" s="125"/>
      <c r="CNV11" s="125"/>
      <c r="CNW11" s="125"/>
      <c r="CNX11" s="125"/>
      <c r="CNY11" s="125"/>
      <c r="CNZ11" s="125"/>
      <c r="COA11" s="125"/>
      <c r="COB11" s="125"/>
      <c r="COC11" s="125"/>
      <c r="COD11" s="125"/>
      <c r="COE11" s="125"/>
      <c r="COF11" s="125"/>
      <c r="COG11" s="125"/>
      <c r="COH11" s="125"/>
      <c r="COI11" s="125"/>
      <c r="COJ11" s="125"/>
      <c r="COK11" s="125"/>
      <c r="COL11" s="125"/>
      <c r="COM11" s="125"/>
      <c r="CON11" s="125"/>
      <c r="COO11" s="125"/>
      <c r="COP11" s="125"/>
      <c r="COQ11" s="125"/>
      <c r="COR11" s="125"/>
      <c r="COS11" s="125"/>
      <c r="COT11" s="125"/>
      <c r="COU11" s="125"/>
      <c r="COV11" s="125"/>
      <c r="COW11" s="125"/>
      <c r="COX11" s="125"/>
      <c r="COY11" s="125"/>
      <c r="COZ11" s="125"/>
      <c r="CPA11" s="125"/>
      <c r="CPB11" s="125"/>
      <c r="CPC11" s="125"/>
      <c r="CPD11" s="125"/>
      <c r="CPE11" s="125"/>
      <c r="CPF11" s="125"/>
      <c r="CPG11" s="125"/>
      <c r="CPH11" s="125"/>
      <c r="CPI11" s="125"/>
      <c r="CPJ11" s="125"/>
      <c r="CPK11" s="125"/>
      <c r="CPL11" s="125"/>
      <c r="CPM11" s="125"/>
      <c r="CPN11" s="125"/>
      <c r="CPO11" s="125"/>
      <c r="CPP11" s="125"/>
      <c r="CPQ11" s="125"/>
      <c r="CPR11" s="125"/>
      <c r="CPS11" s="125"/>
      <c r="CPT11" s="125"/>
      <c r="CPU11" s="125"/>
      <c r="CPV11" s="125"/>
      <c r="CPW11" s="125"/>
      <c r="CPX11" s="125"/>
      <c r="CPY11" s="125"/>
      <c r="CPZ11" s="125"/>
      <c r="CQA11" s="125"/>
      <c r="CQB11" s="125"/>
      <c r="CQC11" s="125"/>
      <c r="CQD11" s="125"/>
      <c r="CQE11" s="125"/>
      <c r="CQF11" s="125"/>
      <c r="CQG11" s="125"/>
      <c r="CQH11" s="125"/>
      <c r="CQI11" s="125"/>
      <c r="CQJ11" s="125"/>
      <c r="CQK11" s="125"/>
      <c r="CQL11" s="125"/>
      <c r="CQM11" s="125"/>
      <c r="CQN11" s="125"/>
      <c r="CQO11" s="125"/>
      <c r="CQP11" s="125"/>
      <c r="CQQ11" s="125"/>
      <c r="CQR11" s="125"/>
      <c r="CQS11" s="125"/>
      <c r="CQT11" s="125"/>
      <c r="CQU11" s="125"/>
      <c r="CQV11" s="125"/>
      <c r="CQW11" s="125"/>
      <c r="CQX11" s="125"/>
      <c r="CQY11" s="125"/>
      <c r="CQZ11" s="125"/>
      <c r="CRA11" s="125"/>
      <c r="CRB11" s="125"/>
      <c r="CRC11" s="125"/>
      <c r="CRD11" s="125"/>
      <c r="CRE11" s="125"/>
      <c r="CRF11" s="125"/>
      <c r="CRG11" s="125"/>
      <c r="CRH11" s="125"/>
      <c r="CRI11" s="125"/>
      <c r="CRJ11" s="125"/>
      <c r="CRK11" s="125"/>
      <c r="CRL11" s="125"/>
      <c r="CRM11" s="125"/>
      <c r="CRN11" s="125"/>
      <c r="CRO11" s="125"/>
      <c r="CRP11" s="125"/>
      <c r="CRQ11" s="125"/>
      <c r="CRR11" s="125"/>
      <c r="CRS11" s="125"/>
      <c r="CRT11" s="125"/>
      <c r="CRU11" s="125"/>
      <c r="CRV11" s="125"/>
      <c r="CRW11" s="125"/>
      <c r="CRX11" s="125"/>
      <c r="CRY11" s="125"/>
      <c r="CRZ11" s="125"/>
      <c r="CSA11" s="125"/>
      <c r="CSB11" s="125"/>
      <c r="CSC11" s="125"/>
      <c r="CSD11" s="125"/>
      <c r="CSE11" s="125"/>
      <c r="CSF11" s="125"/>
      <c r="CSG11" s="125"/>
      <c r="CSH11" s="125"/>
      <c r="CSI11" s="125"/>
      <c r="CSJ11" s="125"/>
      <c r="CSK11" s="125"/>
      <c r="CSL11" s="125"/>
      <c r="CSM11" s="125"/>
      <c r="CSN11" s="125"/>
      <c r="CSO11" s="125"/>
      <c r="CSP11" s="125"/>
      <c r="CSQ11" s="125"/>
      <c r="CSR11" s="125"/>
      <c r="CSS11" s="125"/>
      <c r="CST11" s="125"/>
      <c r="CSU11" s="125"/>
      <c r="CSV11" s="125"/>
      <c r="CSW11" s="125"/>
      <c r="CSX11" s="125"/>
      <c r="CSY11" s="125"/>
      <c r="CSZ11" s="125"/>
      <c r="CTA11" s="125"/>
      <c r="CTB11" s="125"/>
      <c r="CTC11" s="125"/>
      <c r="CTD11" s="125"/>
      <c r="CTE11" s="125"/>
      <c r="CTF11" s="125"/>
      <c r="CTG11" s="125"/>
      <c r="CTH11" s="125"/>
      <c r="CTI11" s="125"/>
      <c r="CTJ11" s="125"/>
      <c r="CTK11" s="125"/>
      <c r="CTL11" s="125"/>
      <c r="CTM11" s="125"/>
      <c r="CTN11" s="125"/>
      <c r="CTO11" s="125"/>
      <c r="CTP11" s="125"/>
      <c r="CTQ11" s="125"/>
      <c r="CTR11" s="125"/>
      <c r="CTS11" s="125"/>
      <c r="CTT11" s="125"/>
      <c r="CTU11" s="125"/>
      <c r="CTV11" s="125"/>
      <c r="CTW11" s="125"/>
      <c r="CTX11" s="125"/>
    </row>
    <row r="12" spans="1:2572" s="128" customFormat="1" ht="22.5" customHeight="1">
      <c r="A12" s="420"/>
      <c r="B12" s="440" t="s">
        <v>4</v>
      </c>
      <c r="C12" s="384"/>
      <c r="D12" s="384"/>
      <c r="E12" s="384" t="s">
        <v>5</v>
      </c>
      <c r="F12" s="384"/>
      <c r="G12" s="384"/>
      <c r="H12" s="384"/>
      <c r="I12" s="384"/>
      <c r="J12" s="384"/>
      <c r="K12" s="389">
        <v>46190</v>
      </c>
      <c r="L12" s="390"/>
      <c r="M12" s="390"/>
      <c r="N12" s="390"/>
      <c r="O12" s="390"/>
      <c r="P12" s="390"/>
      <c r="Q12" s="390"/>
      <c r="R12" s="390"/>
      <c r="S12" s="390"/>
      <c r="T12" s="390"/>
      <c r="U12" s="391">
        <v>46190</v>
      </c>
      <c r="V12" s="392"/>
      <c r="W12" s="2"/>
      <c r="X12" s="380"/>
      <c r="Y12" s="382"/>
      <c r="Z12" s="374"/>
      <c r="AA12" s="374"/>
      <c r="AB12" s="374"/>
      <c r="AC12" s="374"/>
      <c r="AD12" s="377"/>
      <c r="AE12" s="371"/>
      <c r="AF12" s="374"/>
      <c r="AG12" s="383"/>
      <c r="AH12" s="375"/>
      <c r="AI12" s="374"/>
      <c r="AJ12" s="374"/>
      <c r="AK12" s="377"/>
      <c r="AL12" s="371"/>
      <c r="AM12" s="375"/>
      <c r="AN12" s="374"/>
      <c r="AO12" s="375"/>
      <c r="AP12" s="374"/>
      <c r="AQ12" s="374"/>
      <c r="AR12" s="372"/>
      <c r="AS12" s="371"/>
      <c r="AT12" s="375"/>
      <c r="AU12" s="374"/>
      <c r="AV12" s="374"/>
      <c r="AW12" s="375"/>
      <c r="AX12" s="375"/>
      <c r="AY12" s="372"/>
      <c r="AZ12" s="371"/>
      <c r="BA12" s="374"/>
      <c r="BB12" s="375"/>
      <c r="BC12" s="375"/>
      <c r="BD12" s="375"/>
      <c r="BE12" s="374"/>
      <c r="BF12" s="377"/>
      <c r="BG12" s="373"/>
      <c r="BH12" s="375"/>
      <c r="BI12" s="375"/>
      <c r="BJ12" s="374"/>
      <c r="BK12" s="374"/>
      <c r="BL12" s="375"/>
      <c r="BM12" s="372"/>
      <c r="BN12" s="373"/>
      <c r="BO12" s="374"/>
      <c r="BP12" s="374"/>
      <c r="BQ12" s="375"/>
      <c r="BR12" s="375"/>
      <c r="BS12" s="375"/>
      <c r="BT12" s="377"/>
      <c r="BU12" s="371"/>
      <c r="BV12" s="125"/>
      <c r="BW12" s="125"/>
      <c r="BX12" s="125"/>
      <c r="BY12" s="124"/>
      <c r="BZ12" s="124"/>
      <c r="CA12" s="125"/>
      <c r="CB12" s="125"/>
      <c r="CC12" s="125"/>
      <c r="CD12" s="124"/>
      <c r="CE12" s="124"/>
      <c r="CF12" s="125"/>
      <c r="CG12" s="125"/>
      <c r="CH12" s="125"/>
      <c r="CI12" s="124"/>
      <c r="CJ12" s="124"/>
      <c r="CK12" s="125"/>
      <c r="CL12" s="125"/>
      <c r="CM12" s="125"/>
      <c r="CN12" s="124"/>
      <c r="CO12" s="124"/>
      <c r="CP12" s="125"/>
      <c r="CQ12" s="125"/>
      <c r="CR12" s="125"/>
      <c r="CS12" s="124"/>
      <c r="CT12" s="124"/>
      <c r="CU12" s="125"/>
      <c r="CV12" s="125"/>
      <c r="CW12" s="125"/>
      <c r="CX12" s="124"/>
      <c r="CY12" s="124"/>
      <c r="CZ12" s="125"/>
      <c r="DA12" s="125"/>
      <c r="DB12" s="125"/>
      <c r="DC12" s="124"/>
      <c r="DD12" s="124"/>
      <c r="DE12" s="125"/>
      <c r="DF12" s="125"/>
      <c r="DG12" s="125"/>
      <c r="DH12" s="124"/>
      <c r="DI12" s="124"/>
      <c r="DJ12" s="125"/>
      <c r="DK12" s="125"/>
      <c r="DL12" s="125"/>
      <c r="DM12" s="124"/>
      <c r="DN12" s="124"/>
      <c r="DO12" s="125"/>
      <c r="DP12" s="125"/>
      <c r="DQ12" s="125"/>
      <c r="DR12" s="124"/>
      <c r="DS12" s="124"/>
      <c r="DT12" s="125"/>
      <c r="DU12" s="125"/>
      <c r="DV12" s="125"/>
      <c r="DW12" s="124"/>
      <c r="DX12" s="124"/>
      <c r="DY12" s="125"/>
      <c r="DZ12" s="125"/>
      <c r="EA12" s="125"/>
      <c r="EB12" s="124"/>
      <c r="EC12" s="124"/>
      <c r="ED12" s="125"/>
      <c r="EE12" s="125"/>
      <c r="EF12" s="125"/>
      <c r="EG12" s="125"/>
      <c r="EH12" s="124"/>
      <c r="EI12" s="125"/>
      <c r="EJ12" s="125"/>
      <c r="EK12" s="125"/>
      <c r="EL12" s="125"/>
      <c r="EM12" s="125"/>
      <c r="EN12" s="125"/>
      <c r="EO12" s="125"/>
      <c r="EP12" s="125"/>
      <c r="EQ12" s="125"/>
      <c r="ER12" s="125"/>
      <c r="ES12" s="125"/>
      <c r="ET12" s="125"/>
      <c r="EU12" s="125"/>
      <c r="EV12" s="125"/>
      <c r="EW12" s="125"/>
      <c r="EX12" s="125"/>
      <c r="EY12" s="125"/>
      <c r="EZ12" s="125"/>
      <c r="FA12" s="125"/>
      <c r="FB12" s="125"/>
      <c r="FC12" s="125"/>
      <c r="FD12" s="125"/>
      <c r="FE12" s="125"/>
      <c r="FF12" s="125"/>
      <c r="FG12" s="125"/>
      <c r="FH12" s="125"/>
      <c r="FI12" s="125"/>
      <c r="FJ12" s="125"/>
      <c r="FK12" s="125"/>
      <c r="FL12" s="125"/>
      <c r="FM12" s="125"/>
      <c r="FN12" s="125"/>
      <c r="FO12" s="125"/>
      <c r="FP12" s="125"/>
      <c r="FQ12" s="125"/>
      <c r="FR12" s="125"/>
      <c r="FS12" s="125"/>
      <c r="FT12" s="125"/>
      <c r="FU12" s="125"/>
      <c r="FV12" s="125"/>
      <c r="FW12" s="125"/>
      <c r="FX12" s="125"/>
      <c r="FY12" s="125"/>
      <c r="FZ12" s="125"/>
      <c r="GA12" s="125"/>
      <c r="GB12" s="125"/>
      <c r="GC12" s="125"/>
      <c r="GD12" s="125"/>
      <c r="GE12" s="125"/>
      <c r="GF12" s="125"/>
      <c r="GG12" s="125"/>
      <c r="GH12" s="125"/>
      <c r="GI12" s="125"/>
      <c r="GJ12" s="125"/>
      <c r="GK12" s="125"/>
      <c r="GL12" s="125"/>
      <c r="GM12" s="125"/>
      <c r="GN12" s="125"/>
      <c r="GO12" s="125"/>
      <c r="GP12" s="125"/>
      <c r="GQ12" s="125"/>
      <c r="GR12" s="125"/>
      <c r="GS12" s="125"/>
      <c r="GT12" s="125"/>
      <c r="GU12" s="125"/>
      <c r="GV12" s="125"/>
      <c r="GW12" s="125"/>
      <c r="GX12" s="125"/>
      <c r="GY12" s="125"/>
      <c r="GZ12" s="125"/>
      <c r="HA12" s="125"/>
      <c r="HB12" s="125"/>
      <c r="HC12" s="125"/>
      <c r="HD12" s="125"/>
      <c r="HE12" s="125"/>
      <c r="HF12" s="125"/>
      <c r="HG12" s="125"/>
      <c r="HH12" s="125"/>
      <c r="HI12" s="125"/>
      <c r="HJ12" s="125"/>
      <c r="HK12" s="125"/>
      <c r="HL12" s="125"/>
      <c r="HM12" s="125"/>
      <c r="HN12" s="125"/>
      <c r="HO12" s="125"/>
      <c r="HP12" s="125"/>
      <c r="HQ12" s="125"/>
      <c r="HR12" s="125"/>
      <c r="HS12" s="125"/>
      <c r="HT12" s="125"/>
      <c r="HU12" s="125"/>
      <c r="HV12" s="125"/>
      <c r="HW12" s="125"/>
      <c r="HX12" s="125"/>
      <c r="HY12" s="125"/>
      <c r="HZ12" s="125"/>
      <c r="IA12" s="125"/>
      <c r="IB12" s="125"/>
      <c r="IC12" s="125"/>
      <c r="ID12" s="125"/>
      <c r="IE12" s="125"/>
      <c r="IF12" s="125"/>
      <c r="IG12" s="125"/>
      <c r="IH12" s="125"/>
      <c r="II12" s="125"/>
      <c r="IJ12" s="125"/>
      <c r="IK12" s="126"/>
      <c r="IL12" s="125"/>
      <c r="IM12" s="125"/>
      <c r="IN12" s="125"/>
      <c r="IO12" s="125"/>
      <c r="IP12" s="125"/>
      <c r="IQ12" s="125"/>
      <c r="IR12" s="124"/>
      <c r="IS12" s="125"/>
      <c r="IT12" s="125"/>
      <c r="IU12" s="125"/>
      <c r="IV12" s="125"/>
      <c r="IW12" s="125"/>
      <c r="IX12" s="125"/>
      <c r="IY12" s="125"/>
      <c r="IZ12" s="125"/>
      <c r="JA12" s="125"/>
      <c r="JB12" s="125"/>
      <c r="JC12" s="125"/>
      <c r="JD12" s="125"/>
      <c r="JE12" s="125"/>
      <c r="JF12" s="125"/>
      <c r="JG12" s="125"/>
      <c r="JH12" s="125"/>
      <c r="JI12" s="125"/>
      <c r="JJ12" s="125"/>
      <c r="JK12" s="125"/>
      <c r="JL12" s="125"/>
      <c r="JM12" s="125"/>
      <c r="JN12" s="125"/>
      <c r="JO12" s="125"/>
      <c r="JP12" s="125"/>
      <c r="JQ12" s="125"/>
      <c r="JR12" s="125"/>
      <c r="JS12" s="125"/>
      <c r="JT12" s="125"/>
      <c r="JU12" s="125"/>
      <c r="JV12" s="125"/>
      <c r="JW12" s="125"/>
      <c r="JX12" s="125"/>
      <c r="JY12" s="125"/>
      <c r="JZ12" s="125"/>
      <c r="KA12" s="125"/>
      <c r="KB12" s="125"/>
      <c r="KC12" s="125"/>
      <c r="KD12" s="125"/>
      <c r="KE12" s="125"/>
      <c r="KF12" s="125"/>
      <c r="KG12" s="125"/>
      <c r="KH12" s="125"/>
      <c r="KI12" s="125"/>
      <c r="KJ12" s="125"/>
      <c r="KK12" s="125"/>
      <c r="KL12" s="125"/>
      <c r="KM12" s="125"/>
      <c r="KN12" s="125"/>
      <c r="KO12" s="125"/>
      <c r="KP12" s="125"/>
      <c r="KQ12" s="125"/>
      <c r="KR12" s="125"/>
      <c r="KS12" s="125"/>
      <c r="KT12" s="125"/>
      <c r="KU12" s="125"/>
      <c r="KV12" s="125"/>
      <c r="KW12" s="125"/>
      <c r="KX12" s="125"/>
      <c r="KY12" s="125"/>
      <c r="KZ12" s="125"/>
      <c r="LA12" s="125"/>
      <c r="LB12" s="125"/>
      <c r="LC12" s="125"/>
      <c r="LD12" s="125"/>
      <c r="LE12" s="125"/>
      <c r="LF12" s="125"/>
      <c r="LG12" s="125"/>
      <c r="LH12" s="125"/>
      <c r="LI12" s="125"/>
      <c r="LJ12" s="125"/>
      <c r="LK12" s="125"/>
      <c r="LL12" s="125"/>
      <c r="LM12" s="125"/>
      <c r="LN12" s="125"/>
      <c r="LO12" s="125"/>
      <c r="LP12" s="125"/>
      <c r="LQ12" s="125"/>
      <c r="LR12" s="125"/>
      <c r="LS12" s="125"/>
      <c r="LT12" s="125"/>
      <c r="LU12" s="125"/>
      <c r="LV12" s="125"/>
      <c r="LW12" s="125"/>
      <c r="LX12" s="125"/>
      <c r="LY12" s="125"/>
      <c r="LZ12" s="125"/>
      <c r="MA12" s="125"/>
      <c r="MB12" s="125"/>
      <c r="MC12" s="125"/>
      <c r="MD12" s="125"/>
      <c r="ME12" s="125"/>
      <c r="MF12" s="125"/>
      <c r="MG12" s="125"/>
      <c r="MH12" s="125"/>
      <c r="MI12" s="125"/>
      <c r="MJ12" s="125"/>
      <c r="MK12" s="125"/>
      <c r="ML12" s="125"/>
      <c r="MM12" s="125"/>
      <c r="MN12" s="125"/>
      <c r="MO12" s="125"/>
      <c r="MP12" s="125"/>
      <c r="MQ12" s="125"/>
      <c r="MR12" s="125"/>
      <c r="MS12" s="125"/>
      <c r="MT12" s="125"/>
      <c r="MU12" s="125"/>
      <c r="MV12" s="125"/>
      <c r="MW12" s="125"/>
      <c r="MX12" s="125"/>
      <c r="MY12" s="125"/>
      <c r="MZ12" s="125"/>
      <c r="NA12" s="125"/>
      <c r="NB12" s="125"/>
      <c r="NC12" s="125"/>
      <c r="ND12" s="125"/>
      <c r="NE12" s="125"/>
      <c r="NF12" s="125"/>
      <c r="NG12" s="125"/>
      <c r="NH12" s="125"/>
      <c r="NI12" s="125"/>
      <c r="NJ12" s="125"/>
      <c r="NK12" s="125"/>
      <c r="NL12" s="125"/>
      <c r="NM12" s="125"/>
      <c r="NN12" s="125"/>
      <c r="NO12" s="125"/>
      <c r="NP12" s="125"/>
      <c r="NQ12" s="125"/>
      <c r="NR12" s="125"/>
      <c r="NS12" s="125"/>
      <c r="NT12" s="125"/>
      <c r="NU12" s="125"/>
      <c r="NV12" s="125"/>
      <c r="NW12" s="125"/>
      <c r="NX12" s="125"/>
      <c r="NY12" s="125"/>
      <c r="NZ12" s="125"/>
      <c r="OA12" s="125"/>
      <c r="OB12" s="125"/>
      <c r="OC12" s="125"/>
      <c r="OD12" s="125"/>
      <c r="OE12" s="125"/>
      <c r="OF12" s="125"/>
      <c r="OG12" s="125"/>
      <c r="OH12" s="125"/>
      <c r="OI12" s="125"/>
      <c r="OJ12" s="125"/>
      <c r="OK12" s="125"/>
      <c r="OL12" s="125"/>
      <c r="OM12" s="125"/>
      <c r="ON12" s="125"/>
      <c r="OO12" s="125"/>
      <c r="OP12" s="125"/>
      <c r="OQ12" s="125"/>
      <c r="OR12" s="125"/>
      <c r="OS12" s="125"/>
      <c r="OT12" s="125"/>
      <c r="OU12" s="125"/>
      <c r="OV12" s="125"/>
      <c r="OW12" s="125"/>
      <c r="OX12" s="125"/>
      <c r="OY12" s="125"/>
      <c r="OZ12" s="125"/>
      <c r="PA12" s="125"/>
      <c r="PB12" s="125"/>
      <c r="PC12" s="125"/>
      <c r="PD12" s="125"/>
      <c r="PE12" s="125"/>
      <c r="PF12" s="125"/>
      <c r="PG12" s="125"/>
      <c r="PH12" s="125"/>
      <c r="PI12" s="125"/>
      <c r="PJ12" s="125"/>
      <c r="PK12" s="125"/>
      <c r="PL12" s="125"/>
      <c r="PM12" s="125"/>
      <c r="PN12" s="125"/>
      <c r="PO12" s="125"/>
      <c r="PP12" s="125"/>
      <c r="PQ12" s="125"/>
      <c r="PR12" s="125"/>
      <c r="PS12" s="125"/>
      <c r="PT12" s="125"/>
      <c r="PU12" s="125"/>
      <c r="PV12" s="125"/>
      <c r="PW12" s="125"/>
      <c r="PX12" s="125"/>
      <c r="PY12" s="125"/>
      <c r="PZ12" s="125"/>
      <c r="QA12" s="125"/>
      <c r="QB12" s="125"/>
      <c r="QC12" s="125"/>
      <c r="QD12" s="125"/>
      <c r="QE12" s="125"/>
      <c r="QF12" s="125"/>
      <c r="QG12" s="125"/>
      <c r="QH12" s="125"/>
      <c r="QI12" s="125"/>
      <c r="QJ12" s="125"/>
      <c r="QK12" s="125"/>
      <c r="QL12" s="125"/>
      <c r="QM12" s="125"/>
      <c r="QN12" s="125"/>
      <c r="QO12" s="125"/>
      <c r="QP12" s="125"/>
      <c r="QQ12" s="125"/>
      <c r="QR12" s="125"/>
      <c r="QS12" s="125"/>
      <c r="QT12" s="125"/>
      <c r="QU12" s="125"/>
      <c r="QV12" s="125"/>
      <c r="QW12" s="125"/>
      <c r="QX12" s="125"/>
      <c r="QY12" s="125"/>
      <c r="QZ12" s="125"/>
      <c r="RA12" s="125"/>
      <c r="RB12" s="125"/>
      <c r="RC12" s="125"/>
      <c r="RD12" s="125"/>
      <c r="RE12" s="125"/>
      <c r="RF12" s="125"/>
      <c r="RG12" s="125"/>
      <c r="RH12" s="125"/>
      <c r="RI12" s="125"/>
      <c r="RJ12" s="125"/>
      <c r="RK12" s="125"/>
      <c r="RL12" s="125"/>
      <c r="RM12" s="125"/>
      <c r="RN12" s="125"/>
      <c r="RO12" s="125"/>
      <c r="RP12" s="125"/>
      <c r="RQ12" s="125"/>
      <c r="RR12" s="125"/>
      <c r="RS12" s="125"/>
      <c r="RT12" s="125"/>
      <c r="RU12" s="125"/>
      <c r="RV12" s="125"/>
      <c r="RW12" s="125"/>
      <c r="RX12" s="125"/>
      <c r="RY12" s="125"/>
      <c r="RZ12" s="125"/>
      <c r="SA12" s="125"/>
      <c r="SB12" s="125"/>
      <c r="SC12" s="125"/>
      <c r="SD12" s="125"/>
      <c r="SE12" s="125"/>
      <c r="SF12" s="125"/>
      <c r="SG12" s="125"/>
      <c r="SH12" s="125"/>
      <c r="SI12" s="125"/>
      <c r="SJ12" s="125"/>
      <c r="SK12" s="125"/>
      <c r="SL12" s="125"/>
      <c r="SM12" s="125"/>
      <c r="SN12" s="125"/>
      <c r="SO12" s="125"/>
      <c r="SP12" s="125"/>
      <c r="SQ12" s="125"/>
      <c r="SR12" s="125"/>
      <c r="SS12" s="125"/>
      <c r="ST12" s="125"/>
      <c r="SU12" s="125"/>
      <c r="SV12" s="125"/>
      <c r="SW12" s="125"/>
      <c r="SX12" s="125"/>
      <c r="SY12" s="125"/>
      <c r="SZ12" s="125"/>
      <c r="TA12" s="125"/>
      <c r="TB12" s="125"/>
      <c r="TC12" s="125"/>
      <c r="TD12" s="125"/>
      <c r="TE12" s="125"/>
      <c r="TF12" s="125"/>
      <c r="TG12" s="125"/>
      <c r="TH12" s="125"/>
      <c r="TI12" s="125"/>
      <c r="TJ12" s="125"/>
      <c r="TK12" s="125"/>
      <c r="TL12" s="125"/>
      <c r="TM12" s="125"/>
      <c r="TN12" s="125"/>
      <c r="TO12" s="125"/>
      <c r="TP12" s="125"/>
      <c r="TQ12" s="125"/>
      <c r="TR12" s="125"/>
      <c r="TS12" s="125"/>
      <c r="TT12" s="125"/>
      <c r="TU12" s="125"/>
      <c r="TV12" s="125"/>
      <c r="TW12" s="125"/>
      <c r="TX12" s="125"/>
      <c r="TY12" s="125"/>
      <c r="TZ12" s="125"/>
      <c r="UA12" s="125"/>
      <c r="UB12" s="125"/>
      <c r="UC12" s="125"/>
      <c r="UD12" s="125"/>
      <c r="UE12" s="125"/>
      <c r="UF12" s="125"/>
      <c r="UG12" s="125"/>
      <c r="UH12" s="125"/>
      <c r="UI12" s="125"/>
      <c r="UJ12" s="125"/>
      <c r="UK12" s="125"/>
      <c r="UL12" s="125"/>
      <c r="UM12" s="125"/>
      <c r="UN12" s="125"/>
      <c r="UO12" s="125"/>
      <c r="UP12" s="125"/>
      <c r="UQ12" s="125"/>
      <c r="UR12" s="125"/>
      <c r="US12" s="125"/>
      <c r="UT12" s="125"/>
      <c r="UU12" s="125"/>
      <c r="UV12" s="125"/>
      <c r="UW12" s="125"/>
      <c r="UX12" s="125"/>
      <c r="UY12" s="125"/>
      <c r="UZ12" s="125"/>
      <c r="VA12" s="125"/>
      <c r="VB12" s="125"/>
      <c r="VC12" s="125"/>
      <c r="VD12" s="125"/>
      <c r="VE12" s="125"/>
      <c r="VF12" s="125"/>
      <c r="VG12" s="125"/>
      <c r="VH12" s="125"/>
      <c r="VI12" s="125"/>
      <c r="VJ12" s="125"/>
      <c r="VK12" s="125"/>
      <c r="VL12" s="125"/>
      <c r="VM12" s="125"/>
      <c r="VN12" s="125"/>
      <c r="VO12" s="125"/>
      <c r="VP12" s="125"/>
      <c r="VQ12" s="125"/>
      <c r="VR12" s="125"/>
      <c r="VS12" s="125"/>
      <c r="VT12" s="125"/>
      <c r="VU12" s="125"/>
      <c r="VV12" s="125"/>
      <c r="VW12" s="125"/>
      <c r="VX12" s="125"/>
      <c r="VY12" s="125"/>
      <c r="VZ12" s="125"/>
      <c r="WA12" s="125"/>
      <c r="WB12" s="125"/>
      <c r="WC12" s="125"/>
      <c r="WD12" s="125"/>
      <c r="WE12" s="125"/>
      <c r="WF12" s="125"/>
      <c r="WG12" s="125"/>
      <c r="WH12" s="125"/>
      <c r="WI12" s="125"/>
      <c r="WJ12" s="125"/>
      <c r="WK12" s="125"/>
      <c r="WL12" s="125"/>
      <c r="WM12" s="125"/>
      <c r="WN12" s="125"/>
      <c r="WO12" s="125"/>
      <c r="WP12" s="125"/>
      <c r="WQ12" s="125"/>
      <c r="WR12" s="125"/>
      <c r="WS12" s="125"/>
      <c r="WT12" s="125"/>
      <c r="WU12" s="125"/>
      <c r="WV12" s="125"/>
      <c r="WW12" s="125"/>
      <c r="WX12" s="125"/>
      <c r="WY12" s="125"/>
      <c r="WZ12" s="125"/>
      <c r="XA12" s="125"/>
      <c r="XB12" s="125"/>
      <c r="XC12" s="125"/>
      <c r="XD12" s="125"/>
      <c r="XE12" s="125"/>
      <c r="XF12" s="125"/>
      <c r="XG12" s="125"/>
      <c r="XH12" s="125"/>
      <c r="XI12" s="125"/>
      <c r="XJ12" s="125"/>
      <c r="XK12" s="125"/>
      <c r="XL12" s="125"/>
      <c r="XM12" s="125"/>
      <c r="XN12" s="125"/>
      <c r="XO12" s="125"/>
      <c r="XP12" s="125"/>
      <c r="XQ12" s="125"/>
      <c r="XR12" s="125"/>
      <c r="XS12" s="125"/>
      <c r="XT12" s="125"/>
      <c r="XU12" s="125"/>
      <c r="XV12" s="125"/>
      <c r="XW12" s="125"/>
      <c r="XX12" s="125"/>
      <c r="XY12" s="125"/>
      <c r="XZ12" s="125"/>
      <c r="YA12" s="125"/>
      <c r="YB12" s="125"/>
      <c r="YC12" s="125"/>
      <c r="YD12" s="125"/>
      <c r="YE12" s="125"/>
      <c r="YF12" s="125"/>
      <c r="YG12" s="125"/>
      <c r="YH12" s="125"/>
      <c r="YI12" s="125"/>
      <c r="YJ12" s="125"/>
      <c r="YK12" s="125"/>
      <c r="YL12" s="125"/>
      <c r="YM12" s="125"/>
      <c r="YN12" s="125"/>
      <c r="YO12" s="125"/>
      <c r="YP12" s="125"/>
      <c r="YQ12" s="125"/>
      <c r="YR12" s="125"/>
      <c r="YS12" s="125"/>
      <c r="YT12" s="125"/>
      <c r="YU12" s="125"/>
      <c r="YV12" s="125"/>
      <c r="YW12" s="125"/>
      <c r="YX12" s="125"/>
      <c r="YY12" s="125"/>
      <c r="YZ12" s="125"/>
      <c r="ZA12" s="125"/>
      <c r="ZB12" s="125"/>
      <c r="ZC12" s="125"/>
      <c r="ZD12" s="125"/>
      <c r="ZE12" s="125"/>
      <c r="ZF12" s="125"/>
      <c r="ZG12" s="125"/>
      <c r="ZH12" s="125"/>
      <c r="ZI12" s="125"/>
      <c r="ZJ12" s="125"/>
      <c r="ZK12" s="125"/>
      <c r="ZL12" s="125"/>
      <c r="ZM12" s="125"/>
      <c r="ZN12" s="125"/>
      <c r="ZO12" s="125"/>
      <c r="ZP12" s="125"/>
      <c r="ZQ12" s="125"/>
      <c r="ZR12" s="125"/>
      <c r="ZS12" s="125"/>
      <c r="ZT12" s="125"/>
      <c r="ZU12" s="125"/>
      <c r="ZV12" s="125"/>
      <c r="ZW12" s="125"/>
      <c r="ZX12" s="125"/>
      <c r="ZY12" s="125"/>
      <c r="ZZ12" s="125"/>
      <c r="AAA12" s="125"/>
      <c r="AAB12" s="125"/>
      <c r="AAC12" s="125"/>
      <c r="AAD12" s="125"/>
      <c r="AAE12" s="125"/>
      <c r="AAF12" s="125"/>
      <c r="AAG12" s="125"/>
      <c r="AAH12" s="125"/>
      <c r="AAI12" s="125"/>
      <c r="AAJ12" s="125"/>
      <c r="AAK12" s="125"/>
      <c r="AAL12" s="125"/>
      <c r="AAM12" s="125"/>
      <c r="AAN12" s="125"/>
      <c r="AAO12" s="125"/>
      <c r="AAP12" s="125"/>
      <c r="AAQ12" s="125"/>
      <c r="AAR12" s="125"/>
      <c r="AAS12" s="125"/>
      <c r="AAT12" s="125"/>
      <c r="AAU12" s="125"/>
      <c r="AAV12" s="125"/>
      <c r="AAW12" s="125"/>
      <c r="AAX12" s="125"/>
      <c r="AAY12" s="125"/>
      <c r="AAZ12" s="125"/>
      <c r="ABA12" s="125"/>
      <c r="ABB12" s="125"/>
      <c r="ABC12" s="125"/>
      <c r="ABD12" s="125"/>
      <c r="ABE12" s="125"/>
      <c r="ABF12" s="125"/>
      <c r="ABG12" s="125"/>
      <c r="ABH12" s="125"/>
      <c r="ABI12" s="125"/>
      <c r="ABJ12" s="125"/>
      <c r="ABK12" s="125"/>
      <c r="ABL12" s="125"/>
      <c r="ABM12" s="125"/>
      <c r="ABN12" s="125"/>
      <c r="ABO12" s="125"/>
      <c r="ABP12" s="125"/>
      <c r="ABQ12" s="125"/>
      <c r="ABR12" s="125"/>
      <c r="ABS12" s="125"/>
      <c r="ABT12" s="125"/>
      <c r="ABU12" s="125"/>
      <c r="ABV12" s="125"/>
      <c r="ABW12" s="125"/>
      <c r="ABX12" s="125"/>
      <c r="ABY12" s="125"/>
      <c r="ABZ12" s="125"/>
      <c r="ACA12" s="125"/>
      <c r="ACB12" s="125"/>
      <c r="ACC12" s="125"/>
      <c r="ACD12" s="125"/>
      <c r="ACE12" s="125"/>
      <c r="ACF12" s="125"/>
      <c r="ACG12" s="125"/>
      <c r="ACH12" s="125"/>
      <c r="ACI12" s="125"/>
      <c r="ACJ12" s="125"/>
      <c r="ACK12" s="125"/>
      <c r="ACL12" s="125"/>
      <c r="ACM12" s="125"/>
      <c r="ACN12" s="125"/>
      <c r="ACO12" s="125"/>
      <c r="ACP12" s="125"/>
      <c r="ACQ12" s="125"/>
      <c r="ACR12" s="125"/>
      <c r="ACS12" s="125"/>
      <c r="ACT12" s="125"/>
      <c r="ACU12" s="125"/>
      <c r="ACV12" s="125"/>
      <c r="ACW12" s="125"/>
      <c r="ACX12" s="125"/>
      <c r="ACY12" s="125"/>
      <c r="ACZ12" s="125"/>
      <c r="ADA12" s="125"/>
      <c r="ADB12" s="125"/>
      <c r="ADC12" s="125"/>
      <c r="ADD12" s="125"/>
      <c r="ADE12" s="125"/>
      <c r="ADF12" s="125"/>
      <c r="ADG12" s="125"/>
      <c r="ADH12" s="125"/>
      <c r="ADI12" s="125"/>
      <c r="ADJ12" s="125"/>
      <c r="ADK12" s="125"/>
      <c r="ADL12" s="125"/>
      <c r="ADM12" s="125"/>
      <c r="ADN12" s="125"/>
      <c r="ADO12" s="125"/>
      <c r="ADP12" s="125"/>
      <c r="ADQ12" s="125"/>
      <c r="ADR12" s="125"/>
      <c r="ADS12" s="125"/>
      <c r="ADT12" s="125"/>
      <c r="ADU12" s="125"/>
      <c r="ADV12" s="125"/>
      <c r="ADW12" s="125"/>
      <c r="ADX12" s="125"/>
      <c r="ADY12" s="125"/>
      <c r="ADZ12" s="125"/>
      <c r="AEA12" s="125"/>
      <c r="AEB12" s="125"/>
      <c r="AEC12" s="125"/>
      <c r="AED12" s="125"/>
      <c r="AEE12" s="125"/>
      <c r="AEF12" s="125"/>
      <c r="AEG12" s="125"/>
      <c r="AEH12" s="125"/>
      <c r="AEI12" s="125"/>
      <c r="AEJ12" s="125"/>
      <c r="AEK12" s="125"/>
      <c r="AEL12" s="125"/>
      <c r="AEM12" s="125"/>
      <c r="AEN12" s="125"/>
      <c r="AEO12" s="125"/>
      <c r="AEP12" s="125"/>
      <c r="AEQ12" s="125"/>
      <c r="AER12" s="125"/>
      <c r="AES12" s="125"/>
      <c r="AET12" s="125"/>
      <c r="AEU12" s="125"/>
      <c r="AEV12" s="125"/>
      <c r="AEW12" s="125"/>
      <c r="AEX12" s="125"/>
      <c r="AEY12" s="125"/>
      <c r="AEZ12" s="125"/>
      <c r="AFA12" s="125"/>
      <c r="AFB12" s="125"/>
      <c r="AFC12" s="125"/>
      <c r="AFD12" s="125"/>
      <c r="AFE12" s="125"/>
      <c r="AFF12" s="125"/>
      <c r="AFG12" s="125"/>
      <c r="AFH12" s="125"/>
      <c r="AFI12" s="125"/>
      <c r="AFJ12" s="125"/>
      <c r="AFK12" s="125"/>
      <c r="AFL12" s="125"/>
      <c r="AFM12" s="125"/>
      <c r="AFN12" s="125"/>
      <c r="AFO12" s="125"/>
      <c r="AFP12" s="125"/>
      <c r="AFQ12" s="125"/>
      <c r="AFR12" s="125"/>
      <c r="AFS12" s="125"/>
      <c r="AFT12" s="125"/>
      <c r="AFU12" s="125"/>
      <c r="AFV12" s="125"/>
      <c r="AFW12" s="125"/>
      <c r="AFX12" s="125"/>
      <c r="AFY12" s="125"/>
      <c r="AFZ12" s="125"/>
      <c r="AGA12" s="125"/>
      <c r="AGB12" s="125"/>
      <c r="AGC12" s="125"/>
      <c r="AGD12" s="125"/>
      <c r="AGE12" s="125"/>
      <c r="AGF12" s="125"/>
      <c r="AGG12" s="125"/>
      <c r="AGH12" s="125"/>
      <c r="AGI12" s="125"/>
      <c r="AGJ12" s="125"/>
      <c r="AGK12" s="125"/>
      <c r="AGL12" s="125"/>
      <c r="AGM12" s="125"/>
      <c r="AGN12" s="125"/>
      <c r="AGO12" s="125"/>
      <c r="AGP12" s="125"/>
      <c r="AGQ12" s="125"/>
      <c r="AGR12" s="125"/>
      <c r="AGS12" s="125"/>
      <c r="AGT12" s="125"/>
      <c r="AGU12" s="125"/>
      <c r="AGV12" s="125"/>
      <c r="AGW12" s="125"/>
      <c r="AGX12" s="125"/>
      <c r="AGY12" s="125"/>
      <c r="AGZ12" s="125"/>
      <c r="AHA12" s="125"/>
      <c r="AHB12" s="125"/>
      <c r="AHC12" s="125"/>
      <c r="AHD12" s="125"/>
      <c r="AHE12" s="125"/>
      <c r="AHF12" s="125"/>
      <c r="AHG12" s="125"/>
      <c r="AHH12" s="125"/>
      <c r="AHI12" s="125"/>
      <c r="AHJ12" s="125"/>
      <c r="AHK12" s="125"/>
      <c r="AHL12" s="125"/>
      <c r="AHM12" s="125"/>
      <c r="AHN12" s="125"/>
      <c r="AHO12" s="125"/>
      <c r="AHP12" s="125"/>
      <c r="AHQ12" s="125"/>
      <c r="AHR12" s="125"/>
      <c r="AHS12" s="125"/>
      <c r="AHT12" s="125"/>
      <c r="AHU12" s="125"/>
      <c r="AHV12" s="125"/>
      <c r="AHW12" s="125"/>
      <c r="AHX12" s="125"/>
      <c r="AHY12" s="125"/>
      <c r="AHZ12" s="125"/>
      <c r="AIA12" s="125"/>
      <c r="AIB12" s="125"/>
      <c r="AIC12" s="125"/>
      <c r="AID12" s="125"/>
      <c r="AIE12" s="125"/>
      <c r="AIF12" s="125"/>
      <c r="AIG12" s="125"/>
      <c r="AIH12" s="125"/>
      <c r="AII12" s="125"/>
      <c r="AIJ12" s="125"/>
      <c r="AIK12" s="125"/>
      <c r="AIL12" s="125"/>
      <c r="AIM12" s="125"/>
      <c r="AIN12" s="125"/>
      <c r="AIO12" s="125"/>
      <c r="AIP12" s="125"/>
      <c r="AIQ12" s="125"/>
      <c r="AIR12" s="125"/>
      <c r="AIS12" s="125"/>
      <c r="AIT12" s="125"/>
      <c r="AIU12" s="125"/>
      <c r="AIV12" s="125"/>
      <c r="AIW12" s="125"/>
      <c r="AIX12" s="125"/>
      <c r="AIY12" s="125"/>
      <c r="AIZ12" s="125"/>
      <c r="AJA12" s="125"/>
      <c r="AJB12" s="125"/>
      <c r="AJC12" s="125"/>
      <c r="AJD12" s="125"/>
      <c r="AJE12" s="125"/>
      <c r="AJF12" s="125"/>
      <c r="AJG12" s="125"/>
      <c r="AJH12" s="125"/>
      <c r="AJI12" s="125"/>
      <c r="AJJ12" s="125"/>
      <c r="AJK12" s="125"/>
      <c r="AJL12" s="125"/>
      <c r="AJM12" s="125"/>
      <c r="AJN12" s="125"/>
      <c r="AJO12" s="125"/>
      <c r="AJP12" s="125"/>
      <c r="AJQ12" s="125"/>
      <c r="AJR12" s="125"/>
      <c r="AJS12" s="125"/>
      <c r="AJT12" s="125"/>
      <c r="AJU12" s="125"/>
      <c r="AJV12" s="125"/>
      <c r="AJW12" s="125"/>
      <c r="AJX12" s="125"/>
      <c r="AJY12" s="125"/>
      <c r="AJZ12" s="125"/>
      <c r="AKA12" s="125"/>
      <c r="AKB12" s="125"/>
      <c r="AKC12" s="125"/>
      <c r="AKD12" s="125"/>
      <c r="AKE12" s="125"/>
      <c r="AKF12" s="125"/>
      <c r="AKG12" s="125"/>
      <c r="AKH12" s="125"/>
      <c r="AKI12" s="125"/>
      <c r="AKJ12" s="125"/>
      <c r="AKK12" s="125"/>
      <c r="AKL12" s="125"/>
      <c r="AKM12" s="125"/>
      <c r="AKN12" s="125"/>
      <c r="AKO12" s="125"/>
      <c r="AKP12" s="125"/>
      <c r="AKQ12" s="125"/>
      <c r="AKR12" s="125"/>
      <c r="AKS12" s="125"/>
      <c r="AKT12" s="125"/>
      <c r="AKU12" s="125"/>
      <c r="AKV12" s="125"/>
      <c r="AKW12" s="125"/>
      <c r="AKX12" s="125"/>
      <c r="AKY12" s="125"/>
      <c r="AKZ12" s="125"/>
      <c r="ALA12" s="125"/>
      <c r="ALB12" s="125"/>
      <c r="ALC12" s="125"/>
      <c r="ALD12" s="125"/>
      <c r="ALE12" s="125"/>
      <c r="ALF12" s="125"/>
      <c r="ALG12" s="125"/>
      <c r="ALH12" s="125"/>
      <c r="ALI12" s="125"/>
      <c r="ALJ12" s="125"/>
      <c r="ALK12" s="125"/>
      <c r="ALL12" s="125"/>
      <c r="ALM12" s="125"/>
      <c r="ALN12" s="125"/>
      <c r="ALO12" s="125"/>
      <c r="ALP12" s="125"/>
      <c r="ALQ12" s="125"/>
      <c r="ALR12" s="125"/>
      <c r="ALS12" s="125"/>
      <c r="ALT12" s="125"/>
      <c r="ALU12" s="125"/>
      <c r="ALV12" s="125"/>
      <c r="ALW12" s="125"/>
      <c r="ALX12" s="125"/>
      <c r="ALY12" s="125"/>
      <c r="ALZ12" s="125"/>
      <c r="AMA12" s="125"/>
      <c r="AMB12" s="125"/>
      <c r="AMC12" s="125"/>
      <c r="AMD12" s="125"/>
      <c r="AME12" s="125"/>
      <c r="AMF12" s="125"/>
      <c r="AMG12" s="125"/>
      <c r="AMH12" s="125"/>
      <c r="AMI12" s="125"/>
      <c r="AMJ12" s="125"/>
      <c r="AMK12" s="125"/>
      <c r="AML12" s="125"/>
      <c r="AMM12" s="125"/>
      <c r="AMN12" s="125"/>
      <c r="AMO12" s="125"/>
      <c r="AMP12" s="125"/>
      <c r="AMQ12" s="125"/>
      <c r="AMR12" s="125"/>
      <c r="AMS12" s="125"/>
      <c r="AMT12" s="125"/>
      <c r="AMU12" s="125"/>
      <c r="AMV12" s="125"/>
      <c r="AMW12" s="125"/>
      <c r="AMX12" s="125"/>
      <c r="AMY12" s="125"/>
      <c r="AMZ12" s="125"/>
      <c r="ANA12" s="125"/>
      <c r="ANB12" s="125"/>
      <c r="ANC12" s="125"/>
      <c r="AND12" s="125"/>
      <c r="ANE12" s="125"/>
      <c r="ANF12" s="125"/>
      <c r="ANG12" s="125"/>
      <c r="ANH12" s="125"/>
      <c r="ANI12" s="125"/>
      <c r="ANJ12" s="125"/>
      <c r="ANK12" s="125"/>
      <c r="ANL12" s="125"/>
      <c r="ANM12" s="125"/>
      <c r="ANN12" s="125"/>
      <c r="ANO12" s="125"/>
      <c r="ANP12" s="125"/>
      <c r="ANQ12" s="125"/>
      <c r="ANR12" s="125"/>
      <c r="ANS12" s="125"/>
      <c r="ANT12" s="125"/>
      <c r="ANU12" s="125"/>
      <c r="ANV12" s="125"/>
      <c r="ANW12" s="125"/>
      <c r="ANX12" s="125"/>
      <c r="ANY12" s="125"/>
      <c r="ANZ12" s="125"/>
      <c r="AOA12" s="125"/>
      <c r="AOB12" s="125"/>
      <c r="AOC12" s="125"/>
      <c r="AOD12" s="125"/>
      <c r="AOE12" s="125"/>
      <c r="AOF12" s="125"/>
      <c r="AOG12" s="125"/>
      <c r="AOH12" s="125"/>
      <c r="AOI12" s="125"/>
      <c r="AOJ12" s="125"/>
      <c r="AOK12" s="125"/>
      <c r="AOL12" s="125"/>
      <c r="AOM12" s="125"/>
      <c r="AON12" s="125"/>
      <c r="AOO12" s="125"/>
      <c r="AOP12" s="125"/>
      <c r="AOQ12" s="125"/>
      <c r="AOR12" s="125"/>
      <c r="AOS12" s="125"/>
      <c r="AOT12" s="125"/>
      <c r="AOU12" s="125"/>
      <c r="AOV12" s="125"/>
      <c r="AOW12" s="125"/>
      <c r="AOX12" s="125"/>
      <c r="AOY12" s="125"/>
      <c r="AOZ12" s="125"/>
      <c r="APA12" s="125"/>
      <c r="APB12" s="125"/>
      <c r="APC12" s="125"/>
      <c r="APD12" s="125"/>
      <c r="APE12" s="125"/>
      <c r="APF12" s="125"/>
      <c r="APG12" s="125"/>
      <c r="APH12" s="125"/>
      <c r="API12" s="125"/>
      <c r="APJ12" s="125"/>
      <c r="APK12" s="125"/>
      <c r="APL12" s="125"/>
      <c r="APM12" s="125"/>
      <c r="APN12" s="125"/>
      <c r="APO12" s="125"/>
      <c r="APP12" s="125"/>
      <c r="APQ12" s="125"/>
      <c r="APR12" s="125"/>
      <c r="APS12" s="125"/>
      <c r="APT12" s="125"/>
      <c r="APU12" s="125"/>
      <c r="APV12" s="125"/>
      <c r="APW12" s="125"/>
      <c r="APX12" s="125"/>
      <c r="APY12" s="125"/>
      <c r="APZ12" s="125"/>
      <c r="AQA12" s="125"/>
      <c r="AQB12" s="125"/>
      <c r="AQC12" s="125"/>
      <c r="AQD12" s="125"/>
      <c r="AQE12" s="125"/>
      <c r="AQF12" s="125"/>
      <c r="AQG12" s="125"/>
      <c r="AQH12" s="125"/>
      <c r="AQI12" s="125"/>
      <c r="AQJ12" s="125"/>
      <c r="AQK12" s="125"/>
      <c r="AQL12" s="125"/>
      <c r="AQM12" s="125"/>
      <c r="AQN12" s="125"/>
      <c r="AQO12" s="125"/>
      <c r="AQP12" s="125"/>
      <c r="AQQ12" s="125"/>
      <c r="AQR12" s="125"/>
      <c r="AQS12" s="125"/>
      <c r="AQT12" s="125"/>
      <c r="AQU12" s="125"/>
      <c r="AQV12" s="125"/>
      <c r="AQW12" s="125"/>
      <c r="AQX12" s="125"/>
      <c r="AQY12" s="125"/>
      <c r="AQZ12" s="125"/>
      <c r="ARA12" s="125"/>
      <c r="ARB12" s="125"/>
      <c r="ARC12" s="125"/>
      <c r="ARD12" s="125"/>
      <c r="ARE12" s="125"/>
      <c r="ARF12" s="125"/>
      <c r="ARG12" s="125"/>
      <c r="ARH12" s="125"/>
      <c r="ARI12" s="125"/>
      <c r="ARJ12" s="125"/>
      <c r="ARK12" s="125"/>
      <c r="ARL12" s="125"/>
      <c r="ARM12" s="125"/>
      <c r="ARN12" s="125"/>
      <c r="ARO12" s="125"/>
      <c r="ARP12" s="125"/>
      <c r="ARQ12" s="125"/>
      <c r="ARR12" s="125"/>
      <c r="ARS12" s="125"/>
      <c r="ART12" s="125"/>
      <c r="ARU12" s="125"/>
      <c r="ARV12" s="125"/>
      <c r="ARW12" s="125"/>
      <c r="ARX12" s="125"/>
      <c r="ARY12" s="125"/>
      <c r="ARZ12" s="125"/>
      <c r="ASA12" s="125"/>
      <c r="ASB12" s="125"/>
      <c r="ASC12" s="125"/>
      <c r="ASD12" s="125"/>
      <c r="ASE12" s="125"/>
      <c r="ASF12" s="125"/>
      <c r="ASG12" s="125"/>
      <c r="ASH12" s="125"/>
      <c r="ASI12" s="125"/>
      <c r="ASJ12" s="125"/>
      <c r="ASK12" s="125"/>
      <c r="ASL12" s="125"/>
      <c r="ASM12" s="125"/>
      <c r="ASN12" s="125"/>
      <c r="ASO12" s="125"/>
      <c r="ASP12" s="125"/>
      <c r="ASQ12" s="125"/>
      <c r="ASR12" s="125"/>
      <c r="ASS12" s="125"/>
      <c r="AST12" s="125"/>
      <c r="ASU12" s="125"/>
      <c r="ASV12" s="125"/>
      <c r="ASW12" s="125"/>
      <c r="ASX12" s="125"/>
      <c r="ASY12" s="125"/>
      <c r="ASZ12" s="125"/>
      <c r="ATA12" s="125"/>
      <c r="ATB12" s="125"/>
      <c r="ATC12" s="125"/>
      <c r="ATD12" s="125"/>
      <c r="ATE12" s="125"/>
      <c r="ATF12" s="125"/>
      <c r="ATG12" s="125"/>
      <c r="ATH12" s="125"/>
      <c r="ATI12" s="125"/>
      <c r="ATJ12" s="125"/>
      <c r="ATK12" s="125"/>
      <c r="ATL12" s="125"/>
      <c r="ATM12" s="125"/>
      <c r="ATN12" s="125"/>
      <c r="ATO12" s="125"/>
      <c r="ATP12" s="125"/>
      <c r="ATQ12" s="125"/>
      <c r="ATR12" s="125"/>
      <c r="ATS12" s="125"/>
      <c r="ATT12" s="125"/>
      <c r="ATU12" s="125"/>
      <c r="ATV12" s="125"/>
      <c r="ATW12" s="125"/>
      <c r="ATX12" s="125"/>
      <c r="ATY12" s="125"/>
      <c r="ATZ12" s="125"/>
      <c r="AUA12" s="125"/>
      <c r="AUB12" s="125"/>
      <c r="AUC12" s="125"/>
      <c r="AUD12" s="125"/>
      <c r="AUE12" s="125"/>
      <c r="AUF12" s="125"/>
      <c r="AUG12" s="125"/>
      <c r="AUH12" s="125"/>
      <c r="AUI12" s="125"/>
      <c r="AUJ12" s="125"/>
      <c r="AUK12" s="125"/>
      <c r="AUL12" s="125"/>
      <c r="AUM12" s="125"/>
      <c r="AUN12" s="125"/>
      <c r="AUO12" s="125"/>
      <c r="AUP12" s="125"/>
      <c r="AUQ12" s="125"/>
      <c r="AUR12" s="125"/>
      <c r="AUS12" s="125"/>
      <c r="AUT12" s="125"/>
      <c r="AUU12" s="125"/>
      <c r="AUV12" s="125"/>
      <c r="AUW12" s="125"/>
      <c r="AUX12" s="125"/>
      <c r="AUY12" s="125"/>
      <c r="AUZ12" s="125"/>
      <c r="AVA12" s="125"/>
      <c r="AVB12" s="125"/>
      <c r="AVC12" s="125"/>
      <c r="AVD12" s="125"/>
      <c r="AVE12" s="125"/>
      <c r="AVF12" s="125"/>
      <c r="AVG12" s="125"/>
      <c r="AVH12" s="125"/>
      <c r="AVI12" s="125"/>
      <c r="AVJ12" s="125"/>
      <c r="AVK12" s="125"/>
      <c r="AVL12" s="125"/>
      <c r="AVM12" s="125"/>
      <c r="AVN12" s="125"/>
      <c r="AVO12" s="125"/>
      <c r="AVP12" s="125"/>
      <c r="AVQ12" s="125"/>
      <c r="AVR12" s="125"/>
      <c r="AVS12" s="125"/>
      <c r="AVT12" s="125"/>
      <c r="AVU12" s="125"/>
      <c r="AVV12" s="125"/>
      <c r="AVW12" s="125"/>
      <c r="AVX12" s="125"/>
      <c r="AVY12" s="125"/>
      <c r="AVZ12" s="125"/>
      <c r="AWA12" s="125"/>
      <c r="AWB12" s="125"/>
      <c r="AWC12" s="125"/>
      <c r="AWD12" s="125"/>
      <c r="AWE12" s="125"/>
      <c r="AWF12" s="125"/>
      <c r="AWG12" s="125"/>
      <c r="AWH12" s="125"/>
      <c r="AWI12" s="125"/>
      <c r="AWJ12" s="125"/>
      <c r="AWK12" s="125"/>
      <c r="AWL12" s="125"/>
      <c r="AWM12" s="125"/>
      <c r="AWN12" s="125"/>
      <c r="AWO12" s="125"/>
      <c r="AWP12" s="125"/>
      <c r="AWQ12" s="125"/>
      <c r="AWR12" s="125"/>
      <c r="AWS12" s="125"/>
      <c r="AWT12" s="125"/>
      <c r="AWU12" s="125"/>
      <c r="AWV12" s="125"/>
      <c r="AWW12" s="125"/>
      <c r="AWX12" s="125"/>
      <c r="AWY12" s="125"/>
      <c r="AWZ12" s="125"/>
      <c r="AXA12" s="125"/>
      <c r="AXB12" s="125"/>
      <c r="AXC12" s="125"/>
      <c r="AXD12" s="125"/>
      <c r="AXE12" s="125"/>
      <c r="AXF12" s="125"/>
      <c r="AXG12" s="125"/>
      <c r="AXH12" s="125"/>
      <c r="AXI12" s="125"/>
      <c r="AXJ12" s="125"/>
      <c r="AXK12" s="125"/>
      <c r="AXL12" s="125"/>
      <c r="AXM12" s="125"/>
      <c r="AXN12" s="125"/>
      <c r="AXO12" s="125"/>
      <c r="AXP12" s="125"/>
      <c r="AXQ12" s="125"/>
      <c r="AXR12" s="125"/>
      <c r="AXS12" s="125"/>
      <c r="AXT12" s="125"/>
      <c r="AXU12" s="125"/>
      <c r="AXV12" s="125"/>
      <c r="AXW12" s="125"/>
      <c r="AXX12" s="125"/>
      <c r="AXY12" s="125"/>
      <c r="AXZ12" s="125"/>
      <c r="AYA12" s="125"/>
      <c r="AYB12" s="125"/>
      <c r="AYC12" s="125"/>
      <c r="AYD12" s="125"/>
      <c r="AYE12" s="125"/>
      <c r="AYF12" s="125"/>
      <c r="AYG12" s="125"/>
      <c r="AYH12" s="125"/>
      <c r="AYI12" s="125"/>
      <c r="AYJ12" s="125"/>
      <c r="AYK12" s="125"/>
      <c r="AYL12" s="125"/>
      <c r="AYM12" s="125"/>
      <c r="AYN12" s="125"/>
      <c r="AYO12" s="125"/>
      <c r="AYP12" s="125"/>
      <c r="AYQ12" s="125"/>
      <c r="AYR12" s="125"/>
      <c r="AYS12" s="125"/>
      <c r="AYT12" s="125"/>
      <c r="AYU12" s="125"/>
      <c r="AYV12" s="125"/>
      <c r="AYW12" s="125"/>
      <c r="AYX12" s="125"/>
      <c r="AYY12" s="125"/>
      <c r="AYZ12" s="125"/>
      <c r="AZA12" s="125"/>
      <c r="AZB12" s="125"/>
      <c r="AZC12" s="125"/>
      <c r="AZD12" s="125"/>
      <c r="AZE12" s="125"/>
      <c r="AZF12" s="125"/>
      <c r="AZG12" s="125"/>
      <c r="AZH12" s="125"/>
      <c r="AZI12" s="125"/>
      <c r="AZJ12" s="125"/>
      <c r="AZK12" s="125"/>
      <c r="AZL12" s="125"/>
      <c r="AZM12" s="125"/>
      <c r="AZN12" s="125"/>
      <c r="AZO12" s="125"/>
      <c r="AZP12" s="125"/>
      <c r="AZQ12" s="125"/>
      <c r="AZR12" s="125"/>
      <c r="AZS12" s="125"/>
      <c r="AZT12" s="125"/>
      <c r="AZU12" s="125"/>
      <c r="AZV12" s="125"/>
      <c r="AZW12" s="125"/>
      <c r="AZX12" s="125"/>
      <c r="AZY12" s="125"/>
      <c r="AZZ12" s="125"/>
      <c r="BAA12" s="125"/>
      <c r="BAB12" s="125"/>
      <c r="BAC12" s="125"/>
      <c r="BAD12" s="125"/>
      <c r="BAE12" s="125"/>
      <c r="BAF12" s="125"/>
      <c r="BAG12" s="125"/>
      <c r="BAH12" s="125"/>
      <c r="BAI12" s="125"/>
      <c r="BAJ12" s="125"/>
      <c r="BAK12" s="125"/>
      <c r="BAL12" s="125"/>
      <c r="BAM12" s="125"/>
      <c r="BAN12" s="125"/>
      <c r="BAO12" s="125"/>
      <c r="BAP12" s="125"/>
      <c r="BAQ12" s="125"/>
      <c r="BAR12" s="125"/>
      <c r="BAS12" s="125"/>
      <c r="BAT12" s="125"/>
      <c r="BAU12" s="125"/>
      <c r="BAV12" s="125"/>
      <c r="BAW12" s="125"/>
      <c r="BAX12" s="125"/>
      <c r="BAY12" s="125"/>
      <c r="BAZ12" s="125"/>
      <c r="BBA12" s="125"/>
      <c r="BBB12" s="125"/>
      <c r="BBC12" s="125"/>
      <c r="BBD12" s="125"/>
      <c r="BBE12" s="125"/>
      <c r="BBF12" s="125"/>
      <c r="BBG12" s="125"/>
      <c r="BBH12" s="125"/>
      <c r="BBI12" s="125"/>
      <c r="BBJ12" s="125"/>
      <c r="BBK12" s="125"/>
      <c r="BBL12" s="125"/>
      <c r="BBM12" s="125"/>
      <c r="BBN12" s="125"/>
      <c r="BBO12" s="125"/>
      <c r="BBP12" s="125"/>
      <c r="BBQ12" s="125"/>
      <c r="BBR12" s="125"/>
      <c r="BBS12" s="125"/>
      <c r="BBT12" s="125"/>
      <c r="BBU12" s="125"/>
      <c r="BBV12" s="125"/>
      <c r="BBW12" s="125"/>
      <c r="BBX12" s="125"/>
      <c r="BBY12" s="125"/>
      <c r="BBZ12" s="125"/>
      <c r="BCA12" s="125"/>
      <c r="BCB12" s="125"/>
      <c r="BCC12" s="125"/>
      <c r="BCD12" s="125"/>
      <c r="BCE12" s="125"/>
      <c r="BCF12" s="125"/>
      <c r="BCG12" s="125"/>
      <c r="BCH12" s="125"/>
      <c r="BCI12" s="125"/>
      <c r="BCJ12" s="125"/>
      <c r="BCK12" s="125"/>
      <c r="BCL12" s="125"/>
      <c r="BCM12" s="125"/>
      <c r="BCN12" s="125"/>
      <c r="BCO12" s="125"/>
      <c r="BCP12" s="125"/>
      <c r="BCQ12" s="125"/>
      <c r="BCR12" s="125"/>
      <c r="BCS12" s="125"/>
      <c r="BCT12" s="125"/>
      <c r="BCU12" s="125"/>
      <c r="BCV12" s="125"/>
      <c r="BCW12" s="125"/>
      <c r="BCX12" s="125"/>
      <c r="BCY12" s="125"/>
      <c r="BCZ12" s="125"/>
      <c r="BDA12" s="125"/>
      <c r="BDB12" s="125"/>
      <c r="BDC12" s="125"/>
      <c r="BDD12" s="125"/>
      <c r="BDE12" s="125"/>
      <c r="BDF12" s="125"/>
      <c r="BDG12" s="125"/>
      <c r="BDH12" s="125"/>
      <c r="BDI12" s="125"/>
      <c r="BDJ12" s="125"/>
      <c r="BDK12" s="125"/>
      <c r="BDL12" s="125"/>
      <c r="BDM12" s="125"/>
      <c r="BDN12" s="125"/>
      <c r="BDO12" s="125"/>
      <c r="BDP12" s="125"/>
      <c r="BDQ12" s="125"/>
      <c r="BDR12" s="125"/>
      <c r="BDS12" s="125"/>
      <c r="BDT12" s="125"/>
      <c r="BDU12" s="125"/>
      <c r="BDV12" s="125"/>
      <c r="BDW12" s="125"/>
      <c r="BDX12" s="125"/>
      <c r="BDY12" s="125"/>
      <c r="BDZ12" s="125"/>
      <c r="BEA12" s="125"/>
      <c r="BEB12" s="125"/>
      <c r="BEC12" s="125"/>
      <c r="BED12" s="125"/>
      <c r="BEE12" s="125"/>
      <c r="BEF12" s="125"/>
      <c r="BEG12" s="125"/>
      <c r="BEH12" s="125"/>
      <c r="BEI12" s="125"/>
      <c r="BEJ12" s="125"/>
      <c r="BEK12" s="125"/>
      <c r="BEL12" s="125"/>
      <c r="BEM12" s="125"/>
      <c r="BEN12" s="125"/>
      <c r="BEO12" s="125"/>
      <c r="BEP12" s="125"/>
      <c r="BEQ12" s="125"/>
      <c r="BER12" s="125"/>
      <c r="BES12" s="125"/>
      <c r="BET12" s="125"/>
      <c r="BEU12" s="125"/>
      <c r="BEV12" s="125"/>
      <c r="BEW12" s="125"/>
      <c r="BEX12" s="125"/>
      <c r="BEY12" s="125"/>
      <c r="BEZ12" s="125"/>
      <c r="BFA12" s="125"/>
      <c r="BFB12" s="125"/>
      <c r="BFC12" s="125"/>
      <c r="BFD12" s="125"/>
      <c r="BFE12" s="125"/>
      <c r="BFF12" s="125"/>
      <c r="BFG12" s="125"/>
      <c r="BFH12" s="125"/>
      <c r="BFI12" s="125"/>
      <c r="BFJ12" s="125"/>
      <c r="BFK12" s="125"/>
      <c r="BFL12" s="125"/>
      <c r="BFM12" s="125"/>
      <c r="BFN12" s="125"/>
      <c r="BFO12" s="125"/>
      <c r="BFP12" s="125"/>
      <c r="BFQ12" s="125"/>
      <c r="BFR12" s="125"/>
      <c r="BFS12" s="125"/>
      <c r="BFT12" s="125"/>
      <c r="BFU12" s="125"/>
      <c r="BFV12" s="125"/>
      <c r="BFW12" s="125"/>
      <c r="BFX12" s="125"/>
      <c r="BFY12" s="125"/>
      <c r="BFZ12" s="125"/>
      <c r="BGA12" s="125"/>
      <c r="BGB12" s="125"/>
      <c r="BGC12" s="125"/>
      <c r="BGD12" s="125"/>
      <c r="BGE12" s="125"/>
      <c r="BGF12" s="125"/>
      <c r="BGG12" s="125"/>
      <c r="BGH12" s="125"/>
      <c r="BGI12" s="125"/>
      <c r="BGJ12" s="125"/>
      <c r="BGK12" s="125"/>
      <c r="BGL12" s="125"/>
      <c r="BGM12" s="125"/>
      <c r="BGN12" s="125"/>
      <c r="BGO12" s="125"/>
      <c r="BGP12" s="125"/>
      <c r="BGQ12" s="125"/>
      <c r="BGR12" s="125"/>
      <c r="BGS12" s="125"/>
      <c r="BGT12" s="125"/>
      <c r="BGU12" s="125"/>
      <c r="BGV12" s="125"/>
      <c r="BGW12" s="125"/>
      <c r="BGX12" s="125"/>
      <c r="BGY12" s="125"/>
      <c r="BGZ12" s="125"/>
      <c r="BHA12" s="125"/>
      <c r="BHB12" s="125"/>
      <c r="BHC12" s="125"/>
      <c r="BHD12" s="125"/>
      <c r="BHE12" s="125"/>
      <c r="BHF12" s="125"/>
      <c r="BHG12" s="125"/>
      <c r="BHH12" s="125"/>
      <c r="BHI12" s="125"/>
      <c r="BHJ12" s="125"/>
      <c r="BHK12" s="125"/>
      <c r="BHL12" s="125"/>
      <c r="BHM12" s="125"/>
      <c r="BHN12" s="125"/>
      <c r="BHO12" s="125"/>
      <c r="BHP12" s="125"/>
      <c r="BHQ12" s="125"/>
      <c r="BHR12" s="125"/>
      <c r="BHS12" s="125"/>
      <c r="BHT12" s="125"/>
      <c r="BHU12" s="125"/>
      <c r="BHV12" s="125"/>
      <c r="BHW12" s="125"/>
      <c r="BHX12" s="125"/>
      <c r="BHY12" s="125"/>
      <c r="BHZ12" s="125"/>
      <c r="BIA12" s="125"/>
      <c r="BIB12" s="125"/>
      <c r="BIC12" s="125"/>
      <c r="BID12" s="125"/>
      <c r="BIE12" s="125"/>
      <c r="BIF12" s="125"/>
      <c r="BIG12" s="125"/>
      <c r="BIH12" s="125"/>
      <c r="BII12" s="125"/>
      <c r="BIJ12" s="125"/>
      <c r="BIK12" s="125"/>
      <c r="BIL12" s="125"/>
      <c r="BIM12" s="125"/>
      <c r="BIN12" s="125"/>
      <c r="BIO12" s="125"/>
      <c r="BIP12" s="125"/>
      <c r="BIQ12" s="125"/>
      <c r="BIR12" s="125"/>
      <c r="BIS12" s="125"/>
      <c r="BIT12" s="125"/>
      <c r="BIU12" s="125"/>
      <c r="BIV12" s="125"/>
      <c r="BIW12" s="125"/>
      <c r="BIX12" s="125"/>
      <c r="BIY12" s="125"/>
      <c r="BIZ12" s="125"/>
      <c r="BJA12" s="125"/>
      <c r="BJB12" s="125"/>
      <c r="BJC12" s="125"/>
      <c r="BJD12" s="125"/>
      <c r="BJE12" s="125"/>
      <c r="BJF12" s="125"/>
      <c r="BJG12" s="125"/>
      <c r="BJH12" s="125"/>
      <c r="BJI12" s="125"/>
      <c r="BJJ12" s="125"/>
      <c r="BJK12" s="125"/>
      <c r="BJL12" s="125"/>
      <c r="BJM12" s="125"/>
      <c r="BJN12" s="125"/>
      <c r="BJO12" s="125"/>
      <c r="BJP12" s="125"/>
      <c r="BJQ12" s="125"/>
      <c r="BJR12" s="125"/>
      <c r="BJS12" s="125"/>
      <c r="BJT12" s="125"/>
      <c r="BJU12" s="125"/>
      <c r="BJV12" s="125"/>
      <c r="BJW12" s="125"/>
      <c r="BJX12" s="125"/>
      <c r="BJY12" s="125"/>
      <c r="BJZ12" s="125"/>
      <c r="BKA12" s="125"/>
      <c r="BKB12" s="125"/>
      <c r="BKC12" s="125"/>
      <c r="BKD12" s="125"/>
      <c r="BKE12" s="125"/>
      <c r="BKF12" s="125"/>
      <c r="BKG12" s="125"/>
      <c r="BKH12" s="125"/>
      <c r="BKI12" s="125"/>
      <c r="BKJ12" s="125"/>
      <c r="BKK12" s="125"/>
      <c r="BKL12" s="125"/>
      <c r="BKM12" s="125"/>
      <c r="BKN12" s="125"/>
      <c r="BKO12" s="125"/>
      <c r="BKP12" s="125"/>
      <c r="BKQ12" s="125"/>
      <c r="BKR12" s="125"/>
      <c r="BKS12" s="125"/>
      <c r="BKT12" s="125"/>
      <c r="BKU12" s="125"/>
      <c r="BKV12" s="125"/>
      <c r="BKW12" s="125"/>
      <c r="BKX12" s="125"/>
      <c r="BKY12" s="125"/>
      <c r="BKZ12" s="125"/>
      <c r="BLA12" s="125"/>
      <c r="BLB12" s="125"/>
      <c r="BLC12" s="125"/>
      <c r="BLD12" s="125"/>
      <c r="BLE12" s="125"/>
      <c r="BLF12" s="125"/>
      <c r="BLG12" s="125"/>
      <c r="BLH12" s="125"/>
      <c r="BLI12" s="125"/>
      <c r="BLJ12" s="125"/>
      <c r="BLK12" s="125"/>
      <c r="BLL12" s="125"/>
      <c r="BLM12" s="125"/>
      <c r="BLN12" s="125"/>
      <c r="BLO12" s="125"/>
      <c r="BLP12" s="125"/>
      <c r="BLQ12" s="125"/>
      <c r="BLR12" s="125"/>
      <c r="BLS12" s="125"/>
      <c r="BLT12" s="125"/>
      <c r="BLU12" s="125"/>
      <c r="BLV12" s="125"/>
      <c r="BLW12" s="125"/>
      <c r="BLX12" s="125"/>
      <c r="BLY12" s="125"/>
      <c r="BLZ12" s="125"/>
      <c r="BMA12" s="125"/>
      <c r="BMB12" s="125"/>
      <c r="BMC12" s="125"/>
      <c r="BMD12" s="125"/>
      <c r="BME12" s="125"/>
      <c r="BMF12" s="125"/>
      <c r="BMG12" s="125"/>
      <c r="BMH12" s="125"/>
      <c r="BMI12" s="125"/>
      <c r="BMJ12" s="125"/>
      <c r="BMK12" s="125"/>
      <c r="BML12" s="125"/>
      <c r="BMM12" s="125"/>
      <c r="BMN12" s="125"/>
      <c r="BMO12" s="125"/>
      <c r="BMP12" s="125"/>
      <c r="BMQ12" s="125"/>
      <c r="BMR12" s="125"/>
      <c r="BMS12" s="125"/>
      <c r="BMT12" s="125"/>
      <c r="BMU12" s="125"/>
      <c r="BMV12" s="125"/>
      <c r="BMW12" s="125"/>
      <c r="BMX12" s="125"/>
      <c r="BMY12" s="125"/>
      <c r="BMZ12" s="125"/>
      <c r="BNA12" s="125"/>
      <c r="BNB12" s="125"/>
      <c r="BNC12" s="125"/>
      <c r="BND12" s="125"/>
      <c r="BNE12" s="125"/>
      <c r="BNF12" s="125"/>
      <c r="BNG12" s="125"/>
      <c r="BNH12" s="125"/>
      <c r="BNI12" s="125"/>
      <c r="BNJ12" s="125"/>
      <c r="BNK12" s="125"/>
      <c r="BNL12" s="125"/>
      <c r="BNM12" s="125"/>
      <c r="BNN12" s="125"/>
      <c r="BNO12" s="125"/>
      <c r="BNP12" s="125"/>
      <c r="BNQ12" s="125"/>
      <c r="BNR12" s="125"/>
      <c r="BNS12" s="125"/>
      <c r="BNT12" s="125"/>
      <c r="BNU12" s="125"/>
      <c r="BNV12" s="125"/>
      <c r="BNW12" s="125"/>
      <c r="BNX12" s="125"/>
      <c r="BNY12" s="125"/>
      <c r="BNZ12" s="125"/>
      <c r="BOA12" s="125"/>
      <c r="BOB12" s="125"/>
      <c r="BOC12" s="125"/>
      <c r="BOD12" s="125"/>
      <c r="BOE12" s="125"/>
      <c r="BOF12" s="125"/>
      <c r="BOG12" s="125"/>
      <c r="BOH12" s="125"/>
      <c r="BOI12" s="125"/>
      <c r="BOJ12" s="125"/>
      <c r="BOK12" s="125"/>
      <c r="BOL12" s="125"/>
      <c r="BOM12" s="125"/>
      <c r="BON12" s="125"/>
      <c r="BOO12" s="125"/>
      <c r="BOP12" s="125"/>
      <c r="BOQ12" s="125"/>
      <c r="BOR12" s="125"/>
      <c r="BOS12" s="125"/>
      <c r="BOT12" s="125"/>
      <c r="BOU12" s="125"/>
      <c r="BOV12" s="125"/>
      <c r="BOW12" s="125"/>
      <c r="BOX12" s="125"/>
      <c r="BOY12" s="125"/>
      <c r="BOZ12" s="125"/>
      <c r="BPA12" s="125"/>
      <c r="BPB12" s="125"/>
      <c r="BPC12" s="125"/>
      <c r="BPD12" s="125"/>
      <c r="BPE12" s="125"/>
      <c r="BPF12" s="125"/>
      <c r="BPG12" s="125"/>
      <c r="BPH12" s="125"/>
      <c r="BPI12" s="125"/>
      <c r="BPJ12" s="125"/>
      <c r="BPK12" s="125"/>
      <c r="BPL12" s="125"/>
      <c r="BPM12" s="125"/>
      <c r="BPN12" s="125"/>
      <c r="BPO12" s="125"/>
      <c r="BPP12" s="125"/>
      <c r="BPQ12" s="125"/>
      <c r="BPR12" s="125"/>
      <c r="BPS12" s="125"/>
      <c r="BPT12" s="125"/>
      <c r="BPU12" s="125"/>
      <c r="BPV12" s="125"/>
      <c r="BPW12" s="125"/>
      <c r="BPX12" s="125"/>
      <c r="BPY12" s="125"/>
      <c r="BPZ12" s="125"/>
      <c r="BQA12" s="125"/>
      <c r="BQB12" s="125"/>
      <c r="BQC12" s="125"/>
      <c r="BQD12" s="125"/>
      <c r="BQE12" s="125"/>
      <c r="BQF12" s="125"/>
      <c r="BQG12" s="125"/>
      <c r="BQH12" s="125"/>
      <c r="BQI12" s="125"/>
      <c r="BQJ12" s="125"/>
      <c r="BQK12" s="125"/>
      <c r="BQL12" s="125"/>
      <c r="BQM12" s="125"/>
      <c r="BQN12" s="125"/>
      <c r="BQO12" s="125"/>
      <c r="BQP12" s="125"/>
      <c r="BQQ12" s="125"/>
      <c r="BQR12" s="125"/>
      <c r="BQS12" s="125"/>
      <c r="BQT12" s="125"/>
      <c r="BQU12" s="125"/>
      <c r="BQV12" s="125"/>
      <c r="BQW12" s="125"/>
      <c r="BQX12" s="125"/>
      <c r="BQY12" s="125"/>
      <c r="BQZ12" s="125"/>
      <c r="BRA12" s="125"/>
      <c r="BRB12" s="125"/>
      <c r="BRC12" s="125"/>
      <c r="BRD12" s="125"/>
      <c r="BRE12" s="125"/>
      <c r="BRF12" s="125"/>
      <c r="BRG12" s="125"/>
      <c r="BRH12" s="125"/>
      <c r="BRI12" s="125"/>
      <c r="BRJ12" s="125"/>
      <c r="BRK12" s="125"/>
      <c r="BRL12" s="125"/>
      <c r="BRM12" s="125"/>
      <c r="BRN12" s="125"/>
      <c r="BRO12" s="125"/>
      <c r="BRP12" s="125"/>
      <c r="BRQ12" s="125"/>
      <c r="BRR12" s="125"/>
      <c r="BRS12" s="125"/>
      <c r="BRT12" s="125"/>
      <c r="BRU12" s="125"/>
      <c r="BRV12" s="125"/>
      <c r="BRW12" s="125"/>
      <c r="BRX12" s="125"/>
      <c r="BRY12" s="125"/>
      <c r="BRZ12" s="125"/>
      <c r="BSA12" s="125"/>
      <c r="BSB12" s="125"/>
      <c r="BSC12" s="125"/>
      <c r="BSD12" s="125"/>
      <c r="BSE12" s="125"/>
      <c r="BSF12" s="125"/>
      <c r="BSG12" s="125"/>
      <c r="BSH12" s="125"/>
      <c r="BSI12" s="125"/>
      <c r="BSJ12" s="125"/>
      <c r="BSK12" s="125"/>
      <c r="BSL12" s="125"/>
      <c r="BSM12" s="125"/>
      <c r="BSN12" s="125"/>
      <c r="BSO12" s="125"/>
      <c r="BSP12" s="125"/>
      <c r="BSQ12" s="125"/>
      <c r="BSR12" s="125"/>
      <c r="BSS12" s="125"/>
      <c r="BST12" s="125"/>
      <c r="BSU12" s="125"/>
      <c r="BSV12" s="125"/>
      <c r="BSW12" s="125"/>
      <c r="BSX12" s="125"/>
      <c r="BSY12" s="125"/>
      <c r="BSZ12" s="125"/>
      <c r="BTA12" s="125"/>
      <c r="BTB12" s="125"/>
      <c r="BTC12" s="125"/>
      <c r="BTD12" s="125"/>
      <c r="BTE12" s="125"/>
      <c r="BTF12" s="125"/>
      <c r="BTG12" s="125"/>
      <c r="BTH12" s="125"/>
      <c r="BTI12" s="125"/>
      <c r="BTJ12" s="125"/>
      <c r="BTK12" s="125"/>
      <c r="BTL12" s="125"/>
      <c r="BTM12" s="125"/>
      <c r="BTN12" s="125"/>
      <c r="BTO12" s="125"/>
      <c r="BTP12" s="125"/>
      <c r="BTQ12" s="125"/>
      <c r="BTR12" s="125"/>
      <c r="BTS12" s="125"/>
      <c r="BTT12" s="125"/>
      <c r="BTU12" s="125"/>
      <c r="BTV12" s="125"/>
      <c r="BTW12" s="125"/>
      <c r="BTX12" s="125"/>
      <c r="BTY12" s="125"/>
      <c r="BTZ12" s="125"/>
      <c r="BUA12" s="125"/>
      <c r="BUB12" s="125"/>
      <c r="BUC12" s="125"/>
      <c r="BUD12" s="125"/>
      <c r="BUE12" s="125"/>
      <c r="BUF12" s="125"/>
      <c r="BUG12" s="125"/>
      <c r="BUH12" s="125"/>
      <c r="BUI12" s="125"/>
      <c r="BUJ12" s="125"/>
      <c r="BUK12" s="125"/>
      <c r="BUL12" s="125"/>
      <c r="BUM12" s="125"/>
      <c r="BUN12" s="125"/>
      <c r="BUO12" s="125"/>
      <c r="BUP12" s="125"/>
      <c r="BUQ12" s="125"/>
      <c r="BUR12" s="125"/>
      <c r="BUS12" s="125"/>
      <c r="BUT12" s="125"/>
      <c r="BUU12" s="125"/>
      <c r="BUV12" s="125"/>
      <c r="BUW12" s="125"/>
      <c r="BUX12" s="125"/>
      <c r="BUY12" s="125"/>
      <c r="BUZ12" s="125"/>
      <c r="BVA12" s="125"/>
      <c r="BVB12" s="125"/>
      <c r="BVC12" s="125"/>
      <c r="BVD12" s="125"/>
      <c r="BVE12" s="125"/>
      <c r="BVF12" s="125"/>
      <c r="BVG12" s="125"/>
      <c r="BVH12" s="125"/>
      <c r="BVI12" s="125"/>
      <c r="BVJ12" s="125"/>
      <c r="BVK12" s="125"/>
      <c r="BVL12" s="125"/>
      <c r="BVM12" s="125"/>
      <c r="BVN12" s="125"/>
      <c r="BVO12" s="125"/>
      <c r="BVP12" s="125"/>
      <c r="BVQ12" s="125"/>
      <c r="BVR12" s="125"/>
      <c r="BVS12" s="125"/>
      <c r="BVT12" s="125"/>
      <c r="BVU12" s="125"/>
      <c r="BVV12" s="125"/>
      <c r="BVW12" s="125"/>
      <c r="BVX12" s="125"/>
      <c r="BVY12" s="125"/>
      <c r="BVZ12" s="125"/>
      <c r="BWA12" s="125"/>
      <c r="BWB12" s="125"/>
      <c r="BWC12" s="125"/>
      <c r="BWD12" s="125"/>
      <c r="BWE12" s="125"/>
      <c r="BWF12" s="125"/>
      <c r="BWG12" s="125"/>
      <c r="BWH12" s="125"/>
      <c r="BWI12" s="125"/>
      <c r="BWJ12" s="125"/>
      <c r="BWK12" s="125"/>
      <c r="BWL12" s="125"/>
      <c r="BWM12" s="125"/>
      <c r="BWN12" s="125"/>
      <c r="BWO12" s="125"/>
      <c r="BWP12" s="125"/>
      <c r="BWQ12" s="125"/>
      <c r="BWR12" s="125"/>
      <c r="BWS12" s="125"/>
      <c r="BWT12" s="125"/>
      <c r="BWU12" s="125"/>
      <c r="BWV12" s="125"/>
      <c r="BWW12" s="125"/>
      <c r="BWX12" s="125"/>
      <c r="BWY12" s="125"/>
      <c r="BWZ12" s="125"/>
      <c r="BXA12" s="125"/>
      <c r="BXB12" s="125"/>
      <c r="BXC12" s="125"/>
      <c r="BXD12" s="125"/>
      <c r="BXE12" s="125"/>
      <c r="BXF12" s="125"/>
      <c r="BXG12" s="125"/>
      <c r="BXH12" s="125"/>
      <c r="BXI12" s="125"/>
      <c r="BXJ12" s="125"/>
      <c r="BXK12" s="125"/>
      <c r="BXL12" s="125"/>
      <c r="BXM12" s="125"/>
      <c r="BXN12" s="125"/>
      <c r="BXO12" s="125"/>
      <c r="BXP12" s="125"/>
      <c r="BXQ12" s="125"/>
      <c r="BXR12" s="125"/>
      <c r="BXS12" s="125"/>
      <c r="BXT12" s="125"/>
      <c r="BXU12" s="125"/>
      <c r="BXV12" s="125"/>
      <c r="BXW12" s="125"/>
      <c r="BXX12" s="125"/>
      <c r="BXY12" s="125"/>
      <c r="BXZ12" s="125"/>
      <c r="BYA12" s="125"/>
      <c r="BYB12" s="125"/>
      <c r="BYC12" s="125"/>
      <c r="BYD12" s="125"/>
      <c r="BYE12" s="125"/>
      <c r="BYF12" s="125"/>
      <c r="BYG12" s="125"/>
      <c r="BYH12" s="125"/>
      <c r="BYI12" s="125"/>
      <c r="BYJ12" s="125"/>
      <c r="BYK12" s="125"/>
      <c r="BYL12" s="125"/>
      <c r="BYM12" s="125"/>
      <c r="BYN12" s="125"/>
      <c r="BYO12" s="125"/>
      <c r="BYP12" s="125"/>
      <c r="BYQ12" s="125"/>
      <c r="BYR12" s="125"/>
      <c r="BYS12" s="125"/>
      <c r="BYT12" s="125"/>
      <c r="BYU12" s="125"/>
      <c r="BYV12" s="125"/>
      <c r="BYW12" s="125"/>
      <c r="BYX12" s="125"/>
      <c r="BYY12" s="125"/>
      <c r="BYZ12" s="125"/>
      <c r="BZA12" s="125"/>
      <c r="BZB12" s="125"/>
      <c r="BZC12" s="125"/>
      <c r="BZD12" s="125"/>
      <c r="BZE12" s="125"/>
      <c r="BZF12" s="125"/>
      <c r="BZG12" s="125"/>
      <c r="BZH12" s="125"/>
      <c r="BZI12" s="125"/>
      <c r="BZJ12" s="125"/>
      <c r="BZK12" s="125"/>
      <c r="BZL12" s="125"/>
      <c r="BZM12" s="125"/>
      <c r="BZN12" s="125"/>
      <c r="BZO12" s="125"/>
      <c r="BZP12" s="125"/>
      <c r="BZQ12" s="125"/>
      <c r="BZR12" s="125"/>
      <c r="BZS12" s="125"/>
      <c r="BZT12" s="125"/>
      <c r="BZU12" s="125"/>
      <c r="BZV12" s="125"/>
      <c r="BZW12" s="125"/>
      <c r="BZX12" s="125"/>
      <c r="BZY12" s="125"/>
      <c r="BZZ12" s="125"/>
      <c r="CAA12" s="125"/>
      <c r="CAB12" s="125"/>
      <c r="CAC12" s="125"/>
      <c r="CAD12" s="125"/>
      <c r="CAE12" s="125"/>
      <c r="CAF12" s="125"/>
      <c r="CAG12" s="125"/>
      <c r="CAH12" s="125"/>
      <c r="CAI12" s="125"/>
      <c r="CAJ12" s="125"/>
      <c r="CAK12" s="125"/>
      <c r="CAL12" s="125"/>
      <c r="CAM12" s="125"/>
      <c r="CAN12" s="125"/>
      <c r="CAO12" s="125"/>
      <c r="CAP12" s="125"/>
      <c r="CAQ12" s="125"/>
      <c r="CAR12" s="125"/>
      <c r="CAS12" s="125"/>
      <c r="CAT12" s="125"/>
      <c r="CAU12" s="125"/>
      <c r="CAV12" s="125"/>
      <c r="CAW12" s="125"/>
      <c r="CAX12" s="125"/>
      <c r="CAY12" s="125"/>
      <c r="CAZ12" s="125"/>
      <c r="CBA12" s="125"/>
      <c r="CBB12" s="125"/>
      <c r="CBC12" s="125"/>
      <c r="CBD12" s="125"/>
      <c r="CBE12" s="125"/>
      <c r="CBF12" s="125"/>
      <c r="CBG12" s="125"/>
      <c r="CBH12" s="125"/>
      <c r="CBI12" s="125"/>
      <c r="CBJ12" s="125"/>
      <c r="CBK12" s="125"/>
      <c r="CBL12" s="125"/>
      <c r="CBM12" s="125"/>
      <c r="CBN12" s="125"/>
      <c r="CBO12" s="125"/>
      <c r="CBP12" s="125"/>
      <c r="CBQ12" s="125"/>
      <c r="CBR12" s="125"/>
      <c r="CBS12" s="125"/>
      <c r="CBT12" s="125"/>
      <c r="CBU12" s="125"/>
      <c r="CBV12" s="125"/>
      <c r="CBW12" s="125"/>
      <c r="CBX12" s="125"/>
      <c r="CBY12" s="125"/>
      <c r="CBZ12" s="125"/>
      <c r="CCA12" s="125"/>
      <c r="CCB12" s="125"/>
      <c r="CCC12" s="125"/>
      <c r="CCD12" s="125"/>
      <c r="CCE12" s="125"/>
      <c r="CCF12" s="125"/>
      <c r="CCG12" s="125"/>
      <c r="CCH12" s="125"/>
      <c r="CCI12" s="125"/>
      <c r="CCJ12" s="125"/>
      <c r="CCK12" s="125"/>
      <c r="CCL12" s="125"/>
      <c r="CCM12" s="125"/>
      <c r="CCN12" s="125"/>
      <c r="CCO12" s="125"/>
      <c r="CCP12" s="125"/>
      <c r="CCQ12" s="125"/>
      <c r="CCR12" s="125"/>
      <c r="CCS12" s="125"/>
      <c r="CCT12" s="125"/>
      <c r="CCU12" s="125"/>
      <c r="CCV12" s="125"/>
      <c r="CCW12" s="125"/>
      <c r="CCX12" s="125"/>
      <c r="CCY12" s="125"/>
      <c r="CCZ12" s="125"/>
      <c r="CDA12" s="125"/>
      <c r="CDB12" s="125"/>
      <c r="CDC12" s="125"/>
      <c r="CDD12" s="125"/>
      <c r="CDE12" s="125"/>
      <c r="CDF12" s="125"/>
      <c r="CDG12" s="125"/>
      <c r="CDH12" s="125"/>
      <c r="CDI12" s="125"/>
      <c r="CDJ12" s="125"/>
      <c r="CDK12" s="125"/>
      <c r="CDL12" s="125"/>
      <c r="CDM12" s="125"/>
      <c r="CDN12" s="125"/>
      <c r="CDO12" s="125"/>
      <c r="CDP12" s="125"/>
      <c r="CDQ12" s="125"/>
      <c r="CDR12" s="125"/>
      <c r="CDS12" s="125"/>
      <c r="CDT12" s="125"/>
      <c r="CDU12" s="125"/>
      <c r="CDV12" s="125"/>
      <c r="CDW12" s="125"/>
      <c r="CDX12" s="125"/>
      <c r="CDY12" s="125"/>
      <c r="CDZ12" s="125"/>
      <c r="CEA12" s="125"/>
      <c r="CEB12" s="125"/>
      <c r="CEC12" s="125"/>
      <c r="CED12" s="125"/>
      <c r="CEE12" s="125"/>
      <c r="CEF12" s="125"/>
      <c r="CEG12" s="125"/>
      <c r="CEH12" s="125"/>
      <c r="CEI12" s="125"/>
      <c r="CEJ12" s="125"/>
      <c r="CEK12" s="125"/>
      <c r="CEL12" s="125"/>
      <c r="CEM12" s="125"/>
      <c r="CEN12" s="125"/>
      <c r="CEO12" s="125"/>
      <c r="CEP12" s="125"/>
      <c r="CEQ12" s="125"/>
      <c r="CER12" s="125"/>
      <c r="CES12" s="125"/>
      <c r="CET12" s="125"/>
      <c r="CEU12" s="125"/>
      <c r="CEV12" s="125"/>
      <c r="CEW12" s="125"/>
      <c r="CEX12" s="125"/>
      <c r="CEY12" s="125"/>
      <c r="CEZ12" s="125"/>
      <c r="CFA12" s="125"/>
      <c r="CFB12" s="125"/>
      <c r="CFC12" s="125"/>
      <c r="CFD12" s="125"/>
      <c r="CFE12" s="125"/>
      <c r="CFF12" s="125"/>
      <c r="CFG12" s="125"/>
      <c r="CFH12" s="125"/>
      <c r="CFI12" s="125"/>
      <c r="CFJ12" s="125"/>
      <c r="CFK12" s="125"/>
      <c r="CFL12" s="125"/>
      <c r="CFM12" s="125"/>
      <c r="CFN12" s="125"/>
      <c r="CFO12" s="125"/>
      <c r="CFP12" s="125"/>
      <c r="CFQ12" s="125"/>
      <c r="CFR12" s="125"/>
      <c r="CFS12" s="125"/>
      <c r="CFT12" s="125"/>
      <c r="CFU12" s="125"/>
      <c r="CFV12" s="125"/>
      <c r="CFW12" s="125"/>
      <c r="CFX12" s="125"/>
      <c r="CFY12" s="125"/>
      <c r="CFZ12" s="125"/>
      <c r="CGA12" s="125"/>
      <c r="CGB12" s="125"/>
      <c r="CGC12" s="125"/>
      <c r="CGD12" s="125"/>
      <c r="CGE12" s="125"/>
      <c r="CGF12" s="125"/>
      <c r="CGG12" s="125"/>
      <c r="CGH12" s="125"/>
      <c r="CGI12" s="125"/>
      <c r="CGJ12" s="125"/>
      <c r="CGK12" s="125"/>
      <c r="CGL12" s="125"/>
      <c r="CGM12" s="125"/>
      <c r="CGN12" s="125"/>
      <c r="CGO12" s="125"/>
      <c r="CGP12" s="125"/>
      <c r="CGQ12" s="125"/>
      <c r="CGR12" s="125"/>
      <c r="CGS12" s="125"/>
      <c r="CGT12" s="125"/>
      <c r="CGU12" s="125"/>
      <c r="CGV12" s="125"/>
      <c r="CGW12" s="125"/>
      <c r="CGX12" s="125"/>
      <c r="CGY12" s="125"/>
      <c r="CGZ12" s="125"/>
      <c r="CHA12" s="125"/>
      <c r="CHB12" s="125"/>
      <c r="CHC12" s="125"/>
      <c r="CHD12" s="125"/>
      <c r="CHE12" s="125"/>
      <c r="CHF12" s="125"/>
      <c r="CHG12" s="125"/>
      <c r="CHH12" s="125"/>
      <c r="CHI12" s="125"/>
      <c r="CHJ12" s="125"/>
      <c r="CHK12" s="125"/>
      <c r="CHL12" s="125"/>
      <c r="CHM12" s="125"/>
      <c r="CHN12" s="125"/>
      <c r="CHO12" s="125"/>
      <c r="CHP12" s="125"/>
      <c r="CHQ12" s="125"/>
      <c r="CHR12" s="125"/>
      <c r="CHS12" s="125"/>
      <c r="CHT12" s="125"/>
      <c r="CHU12" s="125"/>
      <c r="CHV12" s="125"/>
      <c r="CHW12" s="125"/>
      <c r="CHX12" s="125"/>
      <c r="CHY12" s="125"/>
      <c r="CHZ12" s="125"/>
      <c r="CIA12" s="125"/>
      <c r="CIB12" s="125"/>
      <c r="CIC12" s="125"/>
      <c r="CID12" s="125"/>
      <c r="CIE12" s="125"/>
      <c r="CIF12" s="125"/>
      <c r="CIG12" s="125"/>
      <c r="CIH12" s="125"/>
      <c r="CII12" s="125"/>
      <c r="CIJ12" s="125"/>
      <c r="CIK12" s="125"/>
      <c r="CIL12" s="125"/>
      <c r="CIM12" s="125"/>
      <c r="CIN12" s="125"/>
      <c r="CIO12" s="125"/>
      <c r="CIP12" s="125"/>
      <c r="CIQ12" s="125"/>
      <c r="CIR12" s="125"/>
      <c r="CIS12" s="125"/>
      <c r="CIT12" s="125"/>
      <c r="CIU12" s="125"/>
      <c r="CIV12" s="125"/>
      <c r="CIW12" s="125"/>
      <c r="CIX12" s="125"/>
      <c r="CIY12" s="125"/>
      <c r="CIZ12" s="125"/>
      <c r="CJA12" s="125"/>
      <c r="CJB12" s="125"/>
      <c r="CJC12" s="125"/>
      <c r="CJD12" s="125"/>
      <c r="CJE12" s="125"/>
      <c r="CJF12" s="125"/>
      <c r="CJG12" s="125"/>
      <c r="CJH12" s="125"/>
      <c r="CJI12" s="125"/>
      <c r="CJJ12" s="125"/>
      <c r="CJK12" s="125"/>
      <c r="CJL12" s="125"/>
      <c r="CJM12" s="125"/>
      <c r="CJN12" s="125"/>
      <c r="CJO12" s="125"/>
      <c r="CJP12" s="125"/>
      <c r="CJQ12" s="125"/>
      <c r="CJR12" s="125"/>
      <c r="CJS12" s="125"/>
      <c r="CJT12" s="125"/>
      <c r="CJU12" s="125"/>
      <c r="CJV12" s="125"/>
      <c r="CJW12" s="125"/>
      <c r="CJX12" s="125"/>
      <c r="CJY12" s="125"/>
      <c r="CJZ12" s="125"/>
      <c r="CKA12" s="125"/>
      <c r="CKB12" s="125"/>
      <c r="CKC12" s="125"/>
      <c r="CKD12" s="125"/>
      <c r="CKE12" s="125"/>
      <c r="CKF12" s="125"/>
      <c r="CKG12" s="125"/>
      <c r="CKH12" s="125"/>
      <c r="CKI12" s="125"/>
      <c r="CKJ12" s="125"/>
      <c r="CKK12" s="125"/>
      <c r="CKL12" s="125"/>
      <c r="CKM12" s="125"/>
      <c r="CKN12" s="125"/>
      <c r="CKO12" s="125"/>
      <c r="CKP12" s="125"/>
      <c r="CKQ12" s="125"/>
      <c r="CKR12" s="125"/>
      <c r="CKS12" s="125"/>
      <c r="CKT12" s="125"/>
      <c r="CKU12" s="125"/>
      <c r="CKV12" s="125"/>
      <c r="CKW12" s="125"/>
      <c r="CKX12" s="125"/>
      <c r="CKY12" s="125"/>
      <c r="CKZ12" s="125"/>
      <c r="CLA12" s="125"/>
      <c r="CLB12" s="125"/>
      <c r="CLC12" s="125"/>
      <c r="CLD12" s="125"/>
      <c r="CLE12" s="125"/>
      <c r="CLF12" s="125"/>
      <c r="CLG12" s="125"/>
      <c r="CLH12" s="125"/>
      <c r="CLI12" s="125"/>
      <c r="CLJ12" s="125"/>
      <c r="CLK12" s="125"/>
      <c r="CLL12" s="125"/>
      <c r="CLM12" s="125"/>
      <c r="CLN12" s="125"/>
      <c r="CLO12" s="125"/>
      <c r="CLP12" s="125"/>
      <c r="CLQ12" s="125"/>
      <c r="CLR12" s="125"/>
      <c r="CLS12" s="125"/>
      <c r="CLT12" s="125"/>
      <c r="CLU12" s="125"/>
      <c r="CLV12" s="125"/>
      <c r="CLW12" s="125"/>
      <c r="CLX12" s="125"/>
      <c r="CLY12" s="125"/>
      <c r="CLZ12" s="125"/>
      <c r="CMA12" s="125"/>
      <c r="CMB12" s="125"/>
      <c r="CMC12" s="125"/>
      <c r="CMD12" s="125"/>
      <c r="CME12" s="125"/>
      <c r="CMF12" s="125"/>
      <c r="CMG12" s="125"/>
      <c r="CMH12" s="125"/>
      <c r="CMI12" s="125"/>
      <c r="CMJ12" s="125"/>
      <c r="CMK12" s="125"/>
      <c r="CML12" s="125"/>
      <c r="CMM12" s="125"/>
      <c r="CMN12" s="125"/>
      <c r="CMO12" s="125"/>
      <c r="CMP12" s="125"/>
      <c r="CMQ12" s="125"/>
      <c r="CMR12" s="125"/>
      <c r="CMS12" s="125"/>
      <c r="CMT12" s="125"/>
      <c r="CMU12" s="125"/>
      <c r="CMV12" s="125"/>
      <c r="CMW12" s="125"/>
      <c r="CMX12" s="125"/>
      <c r="CMY12" s="125"/>
      <c r="CMZ12" s="125"/>
      <c r="CNA12" s="125"/>
      <c r="CNB12" s="125"/>
      <c r="CNC12" s="125"/>
      <c r="CND12" s="125"/>
      <c r="CNE12" s="125"/>
      <c r="CNF12" s="125"/>
      <c r="CNG12" s="125"/>
      <c r="CNH12" s="125"/>
      <c r="CNI12" s="125"/>
      <c r="CNJ12" s="125"/>
      <c r="CNK12" s="125"/>
      <c r="CNL12" s="125"/>
      <c r="CNM12" s="125"/>
      <c r="CNN12" s="125"/>
      <c r="CNO12" s="125"/>
      <c r="CNP12" s="125"/>
      <c r="CNQ12" s="125"/>
      <c r="CNR12" s="125"/>
      <c r="CNS12" s="125"/>
      <c r="CNT12" s="125"/>
      <c r="CNU12" s="125"/>
      <c r="CNV12" s="125"/>
      <c r="CNW12" s="125"/>
      <c r="CNX12" s="125"/>
      <c r="CNY12" s="125"/>
      <c r="CNZ12" s="125"/>
      <c r="COA12" s="125"/>
      <c r="COB12" s="125"/>
      <c r="COC12" s="125"/>
      <c r="COD12" s="125"/>
      <c r="COE12" s="125"/>
      <c r="COF12" s="125"/>
      <c r="COG12" s="125"/>
      <c r="COH12" s="125"/>
      <c r="COI12" s="125"/>
      <c r="COJ12" s="125"/>
      <c r="COK12" s="125"/>
      <c r="COL12" s="125"/>
      <c r="COM12" s="125"/>
      <c r="CON12" s="125"/>
      <c r="COO12" s="125"/>
      <c r="COP12" s="125"/>
      <c r="COQ12" s="125"/>
      <c r="COR12" s="125"/>
      <c r="COS12" s="125"/>
      <c r="COT12" s="125"/>
      <c r="COU12" s="125"/>
      <c r="COV12" s="125"/>
      <c r="COW12" s="125"/>
      <c r="COX12" s="125"/>
      <c r="COY12" s="125"/>
      <c r="COZ12" s="125"/>
      <c r="CPA12" s="125"/>
      <c r="CPB12" s="125"/>
      <c r="CPC12" s="125"/>
      <c r="CPD12" s="125"/>
      <c r="CPE12" s="125"/>
      <c r="CPF12" s="125"/>
      <c r="CPG12" s="125"/>
      <c r="CPH12" s="125"/>
      <c r="CPI12" s="125"/>
      <c r="CPJ12" s="125"/>
      <c r="CPK12" s="125"/>
      <c r="CPL12" s="125"/>
      <c r="CPM12" s="125"/>
      <c r="CPN12" s="125"/>
      <c r="CPO12" s="125"/>
      <c r="CPP12" s="125"/>
      <c r="CPQ12" s="125"/>
      <c r="CPR12" s="125"/>
      <c r="CPS12" s="125"/>
      <c r="CPT12" s="125"/>
      <c r="CPU12" s="125"/>
      <c r="CPV12" s="125"/>
      <c r="CPW12" s="125"/>
      <c r="CPX12" s="125"/>
      <c r="CPY12" s="125"/>
      <c r="CPZ12" s="125"/>
      <c r="CQA12" s="125"/>
      <c r="CQB12" s="125"/>
      <c r="CQC12" s="125"/>
      <c r="CQD12" s="125"/>
      <c r="CQE12" s="125"/>
      <c r="CQF12" s="125"/>
      <c r="CQG12" s="125"/>
      <c r="CQH12" s="125"/>
      <c r="CQI12" s="125"/>
      <c r="CQJ12" s="125"/>
      <c r="CQK12" s="125"/>
      <c r="CQL12" s="125"/>
      <c r="CQM12" s="125"/>
      <c r="CQN12" s="125"/>
      <c r="CQO12" s="125"/>
      <c r="CQP12" s="125"/>
      <c r="CQQ12" s="125"/>
      <c r="CQR12" s="125"/>
      <c r="CQS12" s="125"/>
      <c r="CQT12" s="125"/>
      <c r="CQU12" s="125"/>
      <c r="CQV12" s="125"/>
      <c r="CQW12" s="125"/>
      <c r="CQX12" s="125"/>
      <c r="CQY12" s="125"/>
      <c r="CQZ12" s="125"/>
      <c r="CRA12" s="125"/>
      <c r="CRB12" s="125"/>
      <c r="CRC12" s="125"/>
      <c r="CRD12" s="125"/>
      <c r="CRE12" s="125"/>
      <c r="CRF12" s="125"/>
      <c r="CRG12" s="125"/>
      <c r="CRH12" s="125"/>
      <c r="CRI12" s="125"/>
      <c r="CRJ12" s="125"/>
      <c r="CRK12" s="125"/>
      <c r="CRL12" s="125"/>
      <c r="CRM12" s="125"/>
      <c r="CRN12" s="125"/>
      <c r="CRO12" s="125"/>
      <c r="CRP12" s="125"/>
      <c r="CRQ12" s="125"/>
      <c r="CRR12" s="125"/>
      <c r="CRS12" s="125"/>
      <c r="CRT12" s="125"/>
      <c r="CRU12" s="125"/>
      <c r="CRV12" s="125"/>
      <c r="CRW12" s="125"/>
      <c r="CRX12" s="125"/>
      <c r="CRY12" s="125"/>
      <c r="CRZ12" s="125"/>
      <c r="CSA12" s="125"/>
      <c r="CSB12" s="125"/>
      <c r="CSC12" s="125"/>
      <c r="CSD12" s="125"/>
      <c r="CSE12" s="125"/>
      <c r="CSF12" s="125"/>
      <c r="CSG12" s="125"/>
      <c r="CSH12" s="125"/>
      <c r="CSI12" s="125"/>
      <c r="CSJ12" s="125"/>
      <c r="CSK12" s="125"/>
      <c r="CSL12" s="125"/>
      <c r="CSM12" s="125"/>
      <c r="CSN12" s="125"/>
      <c r="CSO12" s="125"/>
      <c r="CSP12" s="125"/>
      <c r="CSQ12" s="125"/>
      <c r="CSR12" s="125"/>
      <c r="CSS12" s="125"/>
      <c r="CST12" s="125"/>
      <c r="CSU12" s="125"/>
      <c r="CSV12" s="125"/>
      <c r="CSW12" s="125"/>
      <c r="CSX12" s="125"/>
      <c r="CSY12" s="125"/>
      <c r="CSZ12" s="125"/>
      <c r="CTA12" s="125"/>
      <c r="CTB12" s="125"/>
      <c r="CTC12" s="125"/>
      <c r="CTD12" s="125"/>
      <c r="CTE12" s="125"/>
      <c r="CTF12" s="125"/>
      <c r="CTG12" s="125"/>
      <c r="CTH12" s="125"/>
      <c r="CTI12" s="125"/>
      <c r="CTJ12" s="125"/>
      <c r="CTK12" s="125"/>
      <c r="CTL12" s="125"/>
      <c r="CTM12" s="125"/>
      <c r="CTN12" s="125"/>
      <c r="CTO12" s="125"/>
      <c r="CTP12" s="125"/>
      <c r="CTQ12" s="125"/>
      <c r="CTR12" s="125"/>
      <c r="CTS12" s="125"/>
      <c r="CTT12" s="125"/>
      <c r="CTU12" s="125"/>
      <c r="CTV12" s="125"/>
      <c r="CTW12" s="125"/>
      <c r="CTX12" s="125"/>
    </row>
    <row r="13" spans="1:2572" s="130" customFormat="1" ht="30" customHeight="1">
      <c r="A13" s="421"/>
      <c r="B13" s="7" t="s">
        <v>4</v>
      </c>
      <c r="C13" s="7" t="s">
        <v>10</v>
      </c>
      <c r="D13" s="7" t="s">
        <v>11</v>
      </c>
      <c r="E13" s="6" t="s">
        <v>12</v>
      </c>
      <c r="F13" s="6" t="s">
        <v>13</v>
      </c>
      <c r="G13" s="63"/>
      <c r="H13" s="7" t="s">
        <v>14</v>
      </c>
      <c r="I13" s="8" t="s">
        <v>15</v>
      </c>
      <c r="J13" s="6" t="s">
        <v>0</v>
      </c>
      <c r="K13" s="9" t="s">
        <v>18</v>
      </c>
      <c r="L13" s="9" t="s">
        <v>19</v>
      </c>
      <c r="M13" s="9" t="s">
        <v>20</v>
      </c>
      <c r="N13" s="378" t="s">
        <v>21</v>
      </c>
      <c r="O13" s="378"/>
      <c r="P13" s="35" t="s">
        <v>39</v>
      </c>
      <c r="Q13" s="35" t="s">
        <v>38</v>
      </c>
      <c r="R13" s="8" t="s">
        <v>23</v>
      </c>
      <c r="S13" s="7" t="s">
        <v>16</v>
      </c>
      <c r="T13" s="7" t="s">
        <v>17</v>
      </c>
      <c r="U13" s="10" t="s">
        <v>16</v>
      </c>
      <c r="V13" s="10" t="s">
        <v>17</v>
      </c>
      <c r="W13" s="6" t="s">
        <v>22</v>
      </c>
      <c r="X13" s="334" t="s">
        <v>51</v>
      </c>
      <c r="Y13" s="334" t="s">
        <v>48</v>
      </c>
      <c r="Z13" s="334" t="s">
        <v>67</v>
      </c>
      <c r="AA13" s="335" t="s">
        <v>48</v>
      </c>
      <c r="AB13" s="334" t="s">
        <v>52</v>
      </c>
      <c r="AC13" s="334" t="s">
        <v>50</v>
      </c>
      <c r="AD13" s="336" t="s">
        <v>50</v>
      </c>
      <c r="AE13" s="334" t="s">
        <v>51</v>
      </c>
      <c r="AF13" s="334" t="s">
        <v>48</v>
      </c>
      <c r="AG13" s="337" t="s">
        <v>67</v>
      </c>
      <c r="AH13" s="334" t="s">
        <v>48</v>
      </c>
      <c r="AI13" s="334" t="s">
        <v>52</v>
      </c>
      <c r="AJ13" s="334" t="s">
        <v>50</v>
      </c>
      <c r="AK13" s="336" t="s">
        <v>50</v>
      </c>
      <c r="AL13" s="425" t="s">
        <v>51</v>
      </c>
      <c r="AM13" s="334" t="s">
        <v>48</v>
      </c>
      <c r="AN13" s="334" t="s">
        <v>67</v>
      </c>
      <c r="AO13" s="334" t="s">
        <v>48</v>
      </c>
      <c r="AP13" s="334" t="s">
        <v>52</v>
      </c>
      <c r="AQ13" s="334" t="s">
        <v>50</v>
      </c>
      <c r="AR13" s="336" t="s">
        <v>50</v>
      </c>
      <c r="AS13" s="334" t="s">
        <v>51</v>
      </c>
      <c r="AT13" s="334" t="s">
        <v>48</v>
      </c>
      <c r="AU13" s="334" t="s">
        <v>67</v>
      </c>
      <c r="AV13" s="334" t="s">
        <v>48</v>
      </c>
      <c r="AW13" s="334" t="s">
        <v>52</v>
      </c>
      <c r="AX13" s="334" t="s">
        <v>50</v>
      </c>
      <c r="AY13" s="336" t="s">
        <v>50</v>
      </c>
      <c r="AZ13" s="334" t="s">
        <v>51</v>
      </c>
      <c r="BA13" s="334" t="s">
        <v>48</v>
      </c>
      <c r="BB13" s="334" t="s">
        <v>67</v>
      </c>
      <c r="BC13" s="334" t="s">
        <v>48</v>
      </c>
      <c r="BD13" s="334" t="s">
        <v>52</v>
      </c>
      <c r="BE13" s="334" t="s">
        <v>50</v>
      </c>
      <c r="BF13" s="336" t="s">
        <v>50</v>
      </c>
      <c r="BG13" s="334" t="s">
        <v>51</v>
      </c>
      <c r="BH13" s="334" t="s">
        <v>48</v>
      </c>
      <c r="BI13" s="334" t="s">
        <v>67</v>
      </c>
      <c r="BJ13" s="334" t="s">
        <v>48</v>
      </c>
      <c r="BK13" s="334" t="s">
        <v>52</v>
      </c>
      <c r="BL13" s="334" t="s">
        <v>50</v>
      </c>
      <c r="BM13" s="336" t="s">
        <v>50</v>
      </c>
      <c r="BN13" s="334" t="s">
        <v>51</v>
      </c>
      <c r="BO13" s="334" t="s">
        <v>48</v>
      </c>
      <c r="BP13" s="334" t="s">
        <v>67</v>
      </c>
      <c r="BQ13" s="334" t="s">
        <v>48</v>
      </c>
      <c r="BR13" s="334" t="s">
        <v>52</v>
      </c>
      <c r="BS13" s="334" t="s">
        <v>50</v>
      </c>
      <c r="BT13" s="336" t="s">
        <v>50</v>
      </c>
      <c r="BU13" s="334" t="s">
        <v>51</v>
      </c>
      <c r="BV13" s="331"/>
      <c r="BW13" s="331"/>
      <c r="BX13" s="331"/>
      <c r="BY13" s="331"/>
      <c r="BZ13" s="331"/>
      <c r="CA13" s="331"/>
      <c r="CB13" s="331"/>
      <c r="CC13" s="331"/>
      <c r="CD13" s="332"/>
      <c r="CE13" s="332"/>
      <c r="CF13" s="332"/>
      <c r="CG13" s="332"/>
      <c r="CH13" s="332"/>
      <c r="CI13" s="332"/>
      <c r="CJ13" s="332"/>
      <c r="CK13" s="332"/>
      <c r="CL13" s="332"/>
      <c r="CM13" s="332"/>
      <c r="CN13" s="332"/>
      <c r="CO13" s="332"/>
      <c r="CP13" s="332"/>
      <c r="CQ13" s="332"/>
      <c r="CR13" s="332"/>
      <c r="CS13" s="332"/>
      <c r="CT13" s="332"/>
      <c r="CU13" s="332"/>
      <c r="CV13" s="332"/>
      <c r="CW13" s="332"/>
      <c r="CX13" s="332"/>
      <c r="CY13" s="332"/>
      <c r="CZ13" s="332"/>
      <c r="DA13" s="332"/>
      <c r="DB13" s="332"/>
      <c r="DC13" s="332"/>
      <c r="DD13" s="332"/>
      <c r="DE13" s="332"/>
      <c r="DF13" s="332"/>
      <c r="DG13" s="332"/>
      <c r="DH13" s="332"/>
      <c r="DI13" s="332"/>
      <c r="DJ13" s="332"/>
      <c r="DK13" s="332"/>
      <c r="DL13" s="332"/>
      <c r="DM13" s="332"/>
      <c r="DN13" s="332"/>
      <c r="DO13" s="332"/>
      <c r="DP13" s="332"/>
      <c r="DQ13" s="332"/>
      <c r="DR13" s="332"/>
      <c r="DS13" s="332"/>
      <c r="DT13" s="332"/>
      <c r="DU13" s="332"/>
      <c r="DV13" s="332"/>
      <c r="DW13" s="332"/>
      <c r="DX13" s="332"/>
      <c r="DY13" s="332"/>
      <c r="DZ13" s="332"/>
      <c r="EA13" s="332"/>
      <c r="EB13" s="332"/>
      <c r="EC13" s="332"/>
      <c r="ED13" s="332"/>
      <c r="EE13" s="332"/>
      <c r="EF13" s="332"/>
      <c r="EG13" s="332"/>
      <c r="EH13" s="332"/>
      <c r="EI13" s="332"/>
      <c r="EJ13" s="332"/>
      <c r="EK13" s="332"/>
      <c r="EL13" s="332"/>
      <c r="EM13" s="332"/>
      <c r="EN13" s="332"/>
      <c r="EO13" s="332"/>
      <c r="EP13" s="332"/>
      <c r="EQ13" s="332"/>
      <c r="ER13" s="332"/>
      <c r="ES13" s="332"/>
      <c r="ET13" s="332"/>
      <c r="EU13" s="332"/>
      <c r="EV13" s="332"/>
      <c r="EW13" s="332"/>
      <c r="EX13" s="332"/>
      <c r="EY13" s="332"/>
      <c r="EZ13" s="332"/>
      <c r="FA13" s="332"/>
      <c r="FB13" s="332"/>
      <c r="FC13" s="332"/>
      <c r="FD13" s="332"/>
      <c r="FE13" s="332"/>
      <c r="FF13" s="332"/>
      <c r="FG13" s="332"/>
      <c r="FH13" s="332"/>
      <c r="FI13" s="332"/>
      <c r="FJ13" s="332"/>
      <c r="FK13" s="332"/>
      <c r="FL13" s="332"/>
      <c r="FM13" s="332"/>
      <c r="FN13" s="332"/>
      <c r="FO13" s="332"/>
      <c r="FP13" s="332"/>
      <c r="FQ13" s="332"/>
      <c r="FR13" s="332"/>
      <c r="FS13" s="332"/>
      <c r="FT13" s="332"/>
      <c r="FU13" s="332"/>
      <c r="FV13" s="332"/>
      <c r="FW13" s="332"/>
      <c r="FX13" s="332"/>
      <c r="FY13" s="332"/>
      <c r="FZ13" s="129"/>
      <c r="GA13" s="129"/>
      <c r="GB13" s="129"/>
      <c r="GC13" s="129"/>
      <c r="GD13" s="129"/>
      <c r="GE13" s="129"/>
      <c r="GF13" s="129"/>
      <c r="GG13" s="129"/>
      <c r="GH13" s="129"/>
      <c r="GI13" s="129"/>
      <c r="GJ13" s="129"/>
      <c r="GK13" s="129"/>
      <c r="GL13" s="129"/>
      <c r="GM13" s="129"/>
      <c r="GN13" s="129"/>
      <c r="GO13" s="129"/>
      <c r="GP13" s="129"/>
      <c r="GQ13" s="129"/>
      <c r="GR13" s="129"/>
      <c r="GS13" s="129"/>
      <c r="GT13" s="129"/>
      <c r="GU13" s="129"/>
      <c r="GV13" s="129"/>
      <c r="GW13" s="129"/>
      <c r="GX13" s="129"/>
      <c r="GY13" s="129"/>
      <c r="GZ13" s="129"/>
      <c r="HA13" s="129"/>
      <c r="HB13" s="129"/>
      <c r="HC13" s="129"/>
      <c r="HD13" s="129"/>
      <c r="HE13" s="129"/>
      <c r="HF13" s="129"/>
      <c r="HG13" s="129"/>
      <c r="HH13" s="129"/>
      <c r="HI13" s="129"/>
      <c r="HJ13" s="129"/>
      <c r="HK13" s="129"/>
      <c r="HL13" s="129"/>
      <c r="HM13" s="129"/>
      <c r="HN13" s="129"/>
      <c r="HO13" s="129"/>
      <c r="HP13" s="129"/>
      <c r="HQ13" s="129"/>
      <c r="HR13" s="129"/>
      <c r="HS13" s="129"/>
      <c r="HT13" s="129"/>
      <c r="HU13" s="129"/>
      <c r="HV13" s="129"/>
      <c r="HW13" s="129"/>
      <c r="HX13" s="129"/>
      <c r="HY13" s="129"/>
      <c r="HZ13" s="129"/>
      <c r="IA13" s="129"/>
      <c r="IB13" s="129"/>
      <c r="IC13" s="129"/>
      <c r="ID13" s="129"/>
      <c r="IE13" s="129"/>
      <c r="IF13" s="129"/>
      <c r="IG13" s="129"/>
      <c r="IH13" s="129"/>
      <c r="II13" s="129"/>
      <c r="IJ13" s="129"/>
      <c r="IK13" s="129"/>
      <c r="IL13" s="129"/>
      <c r="IM13" s="129"/>
      <c r="IN13" s="129"/>
      <c r="IO13" s="129"/>
      <c r="IP13" s="129"/>
      <c r="IQ13" s="129"/>
      <c r="IR13" s="129"/>
      <c r="IS13" s="129"/>
      <c r="IT13" s="129"/>
      <c r="IU13" s="129"/>
      <c r="IV13" s="129"/>
      <c r="IW13" s="129"/>
      <c r="IX13" s="129"/>
      <c r="IY13" s="129"/>
      <c r="IZ13" s="129"/>
      <c r="JA13" s="129"/>
      <c r="JB13" s="129"/>
      <c r="JC13" s="129"/>
      <c r="JD13" s="129"/>
      <c r="JE13" s="129"/>
      <c r="JF13" s="129"/>
      <c r="JG13" s="129"/>
      <c r="JH13" s="129"/>
      <c r="JI13" s="129"/>
      <c r="JJ13" s="129"/>
      <c r="JK13" s="129"/>
      <c r="JL13" s="129"/>
      <c r="JM13" s="129"/>
      <c r="JN13" s="129"/>
      <c r="JO13" s="129"/>
      <c r="JP13" s="129"/>
      <c r="JQ13" s="129"/>
      <c r="JR13" s="129"/>
      <c r="JS13" s="129"/>
      <c r="JT13" s="129"/>
      <c r="JU13" s="129"/>
      <c r="JV13" s="129"/>
      <c r="JW13" s="129"/>
      <c r="JX13" s="129"/>
      <c r="JY13" s="129"/>
      <c r="JZ13" s="129"/>
      <c r="KA13" s="129"/>
      <c r="KB13" s="129"/>
      <c r="KC13" s="129"/>
      <c r="KD13" s="129"/>
      <c r="KE13" s="129"/>
      <c r="KF13" s="129"/>
      <c r="KG13" s="129"/>
      <c r="KH13" s="129"/>
      <c r="KI13" s="129"/>
      <c r="KJ13" s="129"/>
      <c r="KK13" s="129"/>
      <c r="KL13" s="129"/>
      <c r="KM13" s="129"/>
      <c r="KN13" s="129"/>
      <c r="KO13" s="129"/>
      <c r="KP13" s="129"/>
      <c r="KQ13" s="129"/>
      <c r="KR13" s="129"/>
      <c r="KS13" s="129"/>
      <c r="KT13" s="129"/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129"/>
      <c r="LL13" s="129"/>
      <c r="LM13" s="129"/>
      <c r="LN13" s="129"/>
      <c r="LO13" s="129"/>
      <c r="LP13" s="129"/>
      <c r="LQ13" s="129"/>
      <c r="LR13" s="129"/>
      <c r="LS13" s="129"/>
      <c r="LT13" s="129"/>
      <c r="LU13" s="129"/>
      <c r="LV13" s="129"/>
      <c r="LW13" s="129"/>
      <c r="LX13" s="129"/>
      <c r="LY13" s="129"/>
      <c r="LZ13" s="129"/>
      <c r="MA13" s="129"/>
      <c r="MB13" s="129"/>
      <c r="MC13" s="129"/>
      <c r="MD13" s="129"/>
      <c r="ME13" s="129"/>
      <c r="MF13" s="129"/>
      <c r="MG13" s="129"/>
      <c r="MH13" s="129"/>
      <c r="MI13" s="129"/>
      <c r="MJ13" s="129"/>
      <c r="MK13" s="129"/>
      <c r="ML13" s="129"/>
      <c r="MM13" s="129"/>
      <c r="MN13" s="129"/>
      <c r="MO13" s="129"/>
      <c r="MP13" s="129"/>
      <c r="MQ13" s="129"/>
      <c r="MR13" s="129"/>
      <c r="MS13" s="129"/>
      <c r="MT13" s="129"/>
      <c r="MU13" s="129"/>
      <c r="MV13" s="129"/>
      <c r="MW13" s="129"/>
      <c r="MX13" s="129"/>
      <c r="MY13" s="129"/>
      <c r="MZ13" s="129"/>
      <c r="NA13" s="129"/>
      <c r="NB13" s="129"/>
      <c r="NC13" s="129"/>
      <c r="ND13" s="129"/>
      <c r="NE13" s="129"/>
      <c r="NF13" s="129"/>
      <c r="NG13" s="129"/>
      <c r="NH13" s="129"/>
      <c r="NI13" s="129"/>
      <c r="NJ13" s="129"/>
      <c r="NK13" s="129"/>
      <c r="NL13" s="129"/>
      <c r="NM13" s="129"/>
      <c r="NN13" s="129"/>
      <c r="NO13" s="129"/>
      <c r="NP13" s="129"/>
      <c r="NQ13" s="129"/>
      <c r="NR13" s="129"/>
      <c r="NS13" s="129"/>
      <c r="NT13" s="129"/>
      <c r="NU13" s="129"/>
      <c r="NV13" s="129"/>
      <c r="NW13" s="129"/>
      <c r="NX13" s="129"/>
      <c r="NY13" s="129"/>
      <c r="NZ13" s="129"/>
      <c r="OA13" s="129"/>
      <c r="OB13" s="129"/>
      <c r="OC13" s="129"/>
      <c r="OD13" s="129"/>
      <c r="OE13" s="129"/>
      <c r="OF13" s="129"/>
      <c r="OG13" s="129"/>
      <c r="OH13" s="129"/>
      <c r="OI13" s="129"/>
      <c r="OJ13" s="129"/>
      <c r="OK13" s="129"/>
      <c r="OL13" s="129"/>
      <c r="OM13" s="129"/>
      <c r="ON13" s="129"/>
      <c r="OO13" s="129"/>
      <c r="OP13" s="129"/>
      <c r="OQ13" s="129"/>
      <c r="OR13" s="129"/>
      <c r="OS13" s="129"/>
      <c r="OT13" s="129"/>
      <c r="OU13" s="129"/>
      <c r="OV13" s="129"/>
      <c r="OW13" s="129"/>
      <c r="OX13" s="129"/>
      <c r="OY13" s="129"/>
      <c r="OZ13" s="129"/>
      <c r="PA13" s="129"/>
      <c r="PB13" s="129"/>
      <c r="PC13" s="129"/>
      <c r="PD13" s="129"/>
      <c r="PE13" s="129"/>
      <c r="PF13" s="129"/>
      <c r="PG13" s="129"/>
      <c r="PH13" s="129"/>
      <c r="PI13" s="129"/>
      <c r="PJ13" s="129"/>
      <c r="PK13" s="129"/>
      <c r="PL13" s="129"/>
      <c r="PM13" s="129"/>
      <c r="PN13" s="129"/>
      <c r="PO13" s="129"/>
      <c r="PP13" s="129"/>
      <c r="PQ13" s="129"/>
      <c r="PR13" s="129"/>
      <c r="PS13" s="129"/>
      <c r="PT13" s="129"/>
      <c r="PU13" s="129"/>
      <c r="PV13" s="129"/>
      <c r="PW13" s="129"/>
      <c r="PX13" s="129"/>
      <c r="PY13" s="129"/>
      <c r="PZ13" s="129"/>
      <c r="QA13" s="129"/>
      <c r="QB13" s="129"/>
      <c r="QC13" s="129"/>
      <c r="QD13" s="129"/>
      <c r="QE13" s="129"/>
      <c r="QF13" s="129"/>
      <c r="QG13" s="129"/>
      <c r="QH13" s="129"/>
      <c r="QI13" s="129"/>
      <c r="QJ13" s="129"/>
      <c r="QK13" s="129"/>
      <c r="QL13" s="129"/>
      <c r="QM13" s="129"/>
      <c r="QN13" s="129"/>
      <c r="QO13" s="129"/>
      <c r="QP13" s="129"/>
      <c r="QQ13" s="129"/>
      <c r="QR13" s="129"/>
      <c r="QS13" s="129"/>
      <c r="QT13" s="129"/>
      <c r="QU13" s="129"/>
      <c r="QV13" s="129"/>
      <c r="QW13" s="129"/>
      <c r="QX13" s="129"/>
      <c r="QY13" s="129"/>
      <c r="QZ13" s="129"/>
      <c r="RA13" s="129"/>
      <c r="RB13" s="129"/>
      <c r="RC13" s="129"/>
      <c r="RD13" s="129"/>
      <c r="RE13" s="129"/>
      <c r="RF13" s="129"/>
      <c r="RG13" s="129"/>
      <c r="RH13" s="129"/>
      <c r="RI13" s="129"/>
      <c r="RJ13" s="129"/>
      <c r="RK13" s="129"/>
      <c r="RL13" s="129"/>
      <c r="RM13" s="129"/>
      <c r="RN13" s="129"/>
      <c r="RO13" s="129"/>
      <c r="RP13" s="129"/>
      <c r="RQ13" s="129"/>
      <c r="RR13" s="129"/>
      <c r="RS13" s="129"/>
      <c r="RT13" s="129"/>
      <c r="RU13" s="129"/>
      <c r="RV13" s="129"/>
      <c r="RW13" s="129"/>
      <c r="RX13" s="129"/>
      <c r="RY13" s="129"/>
      <c r="RZ13" s="129"/>
      <c r="SA13" s="129"/>
      <c r="SB13" s="129"/>
      <c r="SC13" s="129"/>
      <c r="SD13" s="129"/>
      <c r="SE13" s="129"/>
      <c r="SF13" s="129"/>
      <c r="SG13" s="129"/>
      <c r="SH13" s="129"/>
      <c r="SI13" s="129"/>
      <c r="SJ13" s="129"/>
      <c r="SK13" s="129"/>
      <c r="SL13" s="129"/>
      <c r="SM13" s="129"/>
      <c r="SN13" s="129"/>
      <c r="SO13" s="129"/>
      <c r="SP13" s="129"/>
      <c r="SQ13" s="129"/>
      <c r="SR13" s="129"/>
      <c r="SS13" s="129"/>
      <c r="ST13" s="129"/>
      <c r="SU13" s="129"/>
      <c r="SV13" s="129"/>
      <c r="SW13" s="129"/>
      <c r="SX13" s="129"/>
      <c r="SY13" s="129"/>
      <c r="SZ13" s="129"/>
      <c r="TA13" s="129"/>
      <c r="TB13" s="129"/>
      <c r="TC13" s="129"/>
      <c r="TD13" s="129"/>
      <c r="TE13" s="129"/>
      <c r="TF13" s="129"/>
      <c r="TG13" s="129"/>
      <c r="TH13" s="129"/>
      <c r="TI13" s="129"/>
      <c r="TJ13" s="129"/>
      <c r="TK13" s="129"/>
      <c r="TL13" s="129"/>
      <c r="TM13" s="129"/>
      <c r="TN13" s="129"/>
      <c r="TO13" s="129"/>
      <c r="TP13" s="129"/>
      <c r="TQ13" s="129"/>
      <c r="TR13" s="129"/>
      <c r="TS13" s="129"/>
      <c r="TT13" s="129"/>
      <c r="TU13" s="129"/>
      <c r="TV13" s="129"/>
      <c r="TW13" s="129"/>
      <c r="TX13" s="129"/>
      <c r="TY13" s="129"/>
      <c r="TZ13" s="129"/>
      <c r="UA13" s="129"/>
      <c r="UB13" s="129"/>
      <c r="UC13" s="129"/>
      <c r="UD13" s="129"/>
      <c r="UE13" s="129"/>
      <c r="UF13" s="129"/>
      <c r="UG13" s="129"/>
      <c r="UH13" s="129"/>
      <c r="UI13" s="129"/>
      <c r="UJ13" s="129"/>
      <c r="UK13" s="129"/>
      <c r="UL13" s="129"/>
      <c r="UM13" s="129"/>
      <c r="UN13" s="129"/>
      <c r="UO13" s="129"/>
      <c r="UP13" s="129"/>
      <c r="UQ13" s="129"/>
      <c r="UR13" s="129"/>
      <c r="US13" s="129"/>
      <c r="UT13" s="129"/>
      <c r="UU13" s="129"/>
      <c r="UV13" s="129"/>
      <c r="UW13" s="129"/>
      <c r="UX13" s="129"/>
      <c r="UY13" s="129"/>
      <c r="UZ13" s="129"/>
      <c r="VA13" s="129"/>
      <c r="VB13" s="129"/>
      <c r="VC13" s="129"/>
      <c r="VD13" s="129"/>
      <c r="VE13" s="129"/>
      <c r="VF13" s="129"/>
      <c r="VG13" s="129"/>
      <c r="VH13" s="129"/>
      <c r="VI13" s="129"/>
      <c r="VJ13" s="129"/>
      <c r="VK13" s="129"/>
      <c r="VL13" s="129"/>
      <c r="VM13" s="129"/>
      <c r="VN13" s="129"/>
      <c r="VO13" s="129"/>
      <c r="VP13" s="129"/>
      <c r="VQ13" s="129"/>
      <c r="VR13" s="129"/>
      <c r="VS13" s="129"/>
      <c r="VT13" s="129"/>
      <c r="VU13" s="129"/>
      <c r="VV13" s="129"/>
      <c r="VW13" s="129"/>
      <c r="VX13" s="129"/>
      <c r="VY13" s="129"/>
      <c r="VZ13" s="129"/>
      <c r="WA13" s="129"/>
      <c r="WB13" s="129"/>
      <c r="WC13" s="129"/>
      <c r="WD13" s="129"/>
      <c r="WE13" s="129"/>
      <c r="WF13" s="129"/>
      <c r="WG13" s="129"/>
      <c r="WH13" s="129"/>
      <c r="WI13" s="129"/>
      <c r="WJ13" s="129"/>
      <c r="WK13" s="129"/>
      <c r="WL13" s="129"/>
      <c r="WM13" s="129"/>
      <c r="WN13" s="129"/>
      <c r="WO13" s="129"/>
      <c r="WP13" s="129"/>
      <c r="WQ13" s="129"/>
      <c r="WR13" s="129"/>
      <c r="WS13" s="129"/>
      <c r="WT13" s="129"/>
      <c r="WU13" s="129"/>
      <c r="WV13" s="129"/>
      <c r="WW13" s="129"/>
      <c r="WX13" s="129"/>
      <c r="WY13" s="129"/>
      <c r="WZ13" s="129"/>
      <c r="XA13" s="129"/>
      <c r="XB13" s="129"/>
      <c r="XC13" s="129"/>
      <c r="XD13" s="129"/>
      <c r="XE13" s="129"/>
      <c r="XF13" s="129"/>
      <c r="XG13" s="129"/>
      <c r="XH13" s="129"/>
      <c r="XI13" s="129"/>
      <c r="XJ13" s="129"/>
      <c r="XK13" s="129"/>
      <c r="XL13" s="129"/>
      <c r="XM13" s="129"/>
      <c r="XN13" s="129"/>
      <c r="XO13" s="129"/>
      <c r="XP13" s="129"/>
      <c r="XQ13" s="129"/>
      <c r="XR13" s="129"/>
      <c r="XS13" s="129"/>
      <c r="XT13" s="129"/>
      <c r="XU13" s="129"/>
      <c r="XV13" s="129"/>
      <c r="XW13" s="129"/>
      <c r="XX13" s="129"/>
      <c r="XY13" s="129"/>
      <c r="XZ13" s="129"/>
      <c r="YA13" s="129"/>
      <c r="YB13" s="129"/>
      <c r="YC13" s="129"/>
      <c r="YD13" s="129"/>
      <c r="YE13" s="129"/>
      <c r="YF13" s="129"/>
      <c r="YG13" s="129"/>
      <c r="YH13" s="129"/>
      <c r="YI13" s="129"/>
      <c r="YJ13" s="129"/>
      <c r="YK13" s="129"/>
      <c r="YL13" s="129"/>
      <c r="YM13" s="129"/>
      <c r="YN13" s="129"/>
      <c r="YO13" s="129"/>
      <c r="YP13" s="129"/>
      <c r="YQ13" s="129"/>
      <c r="YR13" s="129"/>
      <c r="YS13" s="129"/>
      <c r="YT13" s="129"/>
      <c r="YU13" s="129"/>
      <c r="YV13" s="129"/>
      <c r="YW13" s="129"/>
      <c r="YX13" s="129"/>
      <c r="YY13" s="129"/>
      <c r="YZ13" s="129"/>
      <c r="ZA13" s="129"/>
      <c r="ZB13" s="129"/>
      <c r="ZC13" s="129"/>
      <c r="ZD13" s="129"/>
      <c r="ZE13" s="129"/>
      <c r="ZF13" s="129"/>
      <c r="ZG13" s="129"/>
      <c r="ZH13" s="129"/>
      <c r="ZI13" s="129"/>
      <c r="ZJ13" s="129"/>
      <c r="ZK13" s="129"/>
      <c r="ZL13" s="129"/>
      <c r="ZM13" s="129"/>
      <c r="ZN13" s="129"/>
      <c r="ZO13" s="129"/>
      <c r="ZP13" s="129"/>
      <c r="ZQ13" s="129"/>
      <c r="ZR13" s="129"/>
      <c r="ZS13" s="129"/>
      <c r="ZT13" s="129"/>
      <c r="ZU13" s="129"/>
      <c r="ZV13" s="129"/>
      <c r="ZW13" s="129"/>
      <c r="ZX13" s="129"/>
      <c r="ZY13" s="129"/>
      <c r="ZZ13" s="129"/>
      <c r="AAA13" s="129"/>
      <c r="AAB13" s="129"/>
      <c r="AAC13" s="129"/>
      <c r="AAD13" s="129"/>
      <c r="AAE13" s="129"/>
      <c r="AAF13" s="129"/>
      <c r="AAG13" s="129"/>
      <c r="AAH13" s="129"/>
      <c r="AAI13" s="129"/>
      <c r="AAJ13" s="129"/>
      <c r="AAK13" s="129"/>
      <c r="AAL13" s="129"/>
      <c r="AAM13" s="129"/>
      <c r="AAN13" s="129"/>
      <c r="AAO13" s="129"/>
      <c r="AAP13" s="129"/>
      <c r="AAQ13" s="129"/>
      <c r="AAR13" s="129"/>
      <c r="AAS13" s="129"/>
      <c r="AAT13" s="129"/>
      <c r="AAU13" s="129"/>
      <c r="AAV13" s="129"/>
      <c r="AAW13" s="129"/>
      <c r="AAX13" s="129"/>
      <c r="AAY13" s="129"/>
      <c r="AAZ13" s="129"/>
      <c r="ABA13" s="129"/>
      <c r="ABB13" s="129"/>
      <c r="ABC13" s="129"/>
      <c r="ABD13" s="129"/>
      <c r="ABE13" s="129"/>
      <c r="ABF13" s="129"/>
      <c r="ABG13" s="129"/>
      <c r="ABH13" s="129"/>
      <c r="ABI13" s="129"/>
      <c r="ABJ13" s="129"/>
      <c r="ABK13" s="129"/>
      <c r="ABL13" s="129"/>
      <c r="ABM13" s="129"/>
      <c r="ABN13" s="129"/>
      <c r="ABO13" s="129"/>
      <c r="ABP13" s="129"/>
      <c r="ABQ13" s="129"/>
      <c r="ABR13" s="129"/>
      <c r="ABS13" s="129"/>
      <c r="ABT13" s="129"/>
      <c r="ABU13" s="129"/>
      <c r="ABV13" s="129"/>
      <c r="ABW13" s="129"/>
      <c r="ABX13" s="129"/>
      <c r="ABY13" s="129"/>
      <c r="ABZ13" s="129"/>
      <c r="ACA13" s="129"/>
      <c r="ACB13" s="129"/>
      <c r="ACC13" s="129"/>
      <c r="ACD13" s="129"/>
      <c r="ACE13" s="129"/>
      <c r="ACF13" s="129"/>
      <c r="ACG13" s="129"/>
      <c r="ACH13" s="129"/>
      <c r="ACI13" s="129"/>
      <c r="ACJ13" s="129"/>
      <c r="ACK13" s="129"/>
      <c r="ACL13" s="129"/>
      <c r="ACM13" s="129"/>
      <c r="ACN13" s="129"/>
      <c r="ACO13" s="129"/>
      <c r="ACP13" s="129"/>
      <c r="ACQ13" s="129"/>
      <c r="ACR13" s="129"/>
      <c r="ACS13" s="129"/>
      <c r="ACT13" s="129"/>
      <c r="ACU13" s="129"/>
      <c r="ACV13" s="129"/>
      <c r="ACW13" s="129"/>
      <c r="ACX13" s="129"/>
      <c r="ACY13" s="129"/>
      <c r="ACZ13" s="129"/>
      <c r="ADA13" s="129"/>
      <c r="ADB13" s="129"/>
      <c r="ADC13" s="129"/>
      <c r="ADD13" s="129"/>
      <c r="ADE13" s="129"/>
      <c r="ADF13" s="129"/>
      <c r="ADG13" s="129"/>
      <c r="ADH13" s="129"/>
      <c r="ADI13" s="129"/>
      <c r="ADJ13" s="129"/>
      <c r="ADK13" s="129"/>
      <c r="ADL13" s="129"/>
      <c r="ADM13" s="129"/>
      <c r="ADN13" s="129"/>
      <c r="ADO13" s="129"/>
      <c r="ADP13" s="129"/>
      <c r="ADQ13" s="129"/>
      <c r="ADR13" s="129"/>
      <c r="ADS13" s="129"/>
      <c r="ADT13" s="129"/>
      <c r="ADU13" s="129"/>
      <c r="ADV13" s="129"/>
      <c r="ADW13" s="129"/>
      <c r="ADX13" s="129"/>
      <c r="ADY13" s="129"/>
      <c r="ADZ13" s="129"/>
      <c r="AEA13" s="129"/>
      <c r="AEB13" s="129"/>
      <c r="AEC13" s="129"/>
      <c r="AED13" s="129"/>
      <c r="AEE13" s="129"/>
      <c r="AEF13" s="129"/>
      <c r="AEG13" s="129"/>
      <c r="AEH13" s="129"/>
      <c r="AEI13" s="129"/>
      <c r="AEJ13" s="129"/>
      <c r="AEK13" s="129"/>
      <c r="AEL13" s="129"/>
      <c r="AEM13" s="129"/>
      <c r="AEN13" s="129"/>
      <c r="AEO13" s="129"/>
      <c r="AEP13" s="129"/>
      <c r="AEQ13" s="129"/>
      <c r="AER13" s="129"/>
      <c r="AES13" s="129"/>
      <c r="AET13" s="129"/>
      <c r="AEU13" s="129"/>
      <c r="AEV13" s="129"/>
      <c r="AEW13" s="129"/>
      <c r="AEX13" s="129"/>
      <c r="AEY13" s="129"/>
      <c r="AEZ13" s="129"/>
      <c r="AFA13" s="129"/>
      <c r="AFB13" s="129"/>
      <c r="AFC13" s="129"/>
      <c r="AFD13" s="129"/>
      <c r="AFE13" s="129"/>
      <c r="AFF13" s="129"/>
      <c r="AFG13" s="129"/>
      <c r="AFH13" s="129"/>
      <c r="AFI13" s="129"/>
      <c r="AFJ13" s="129"/>
      <c r="AFK13" s="129"/>
      <c r="AFL13" s="129"/>
      <c r="AFM13" s="129"/>
      <c r="AFN13" s="129"/>
      <c r="AFO13" s="129"/>
      <c r="AFP13" s="129"/>
      <c r="AFQ13" s="129"/>
      <c r="AFR13" s="129"/>
      <c r="AFS13" s="129"/>
      <c r="AFT13" s="129"/>
      <c r="AFU13" s="129"/>
      <c r="AFV13" s="129"/>
      <c r="AFW13" s="129"/>
      <c r="AFX13" s="129"/>
      <c r="AFY13" s="129"/>
      <c r="AFZ13" s="129"/>
      <c r="AGA13" s="129"/>
      <c r="AGB13" s="129"/>
      <c r="AGC13" s="129"/>
      <c r="AGD13" s="129"/>
      <c r="AGE13" s="129"/>
      <c r="AGF13" s="129"/>
      <c r="AGG13" s="129"/>
      <c r="AGH13" s="129"/>
      <c r="AGI13" s="129"/>
      <c r="AGJ13" s="129"/>
      <c r="AGK13" s="129"/>
      <c r="AGL13" s="129"/>
      <c r="AGM13" s="129"/>
      <c r="AGN13" s="129"/>
      <c r="AGO13" s="129"/>
      <c r="AGP13" s="129"/>
      <c r="AGQ13" s="129"/>
      <c r="AGR13" s="129"/>
      <c r="AGS13" s="129"/>
      <c r="AGT13" s="129"/>
      <c r="AGU13" s="129"/>
      <c r="AGV13" s="129"/>
      <c r="AGW13" s="129"/>
      <c r="AGX13" s="129"/>
      <c r="AGY13" s="129"/>
      <c r="AGZ13" s="129"/>
      <c r="AHA13" s="129"/>
      <c r="AHB13" s="129"/>
      <c r="AHC13" s="129"/>
      <c r="AHD13" s="129"/>
      <c r="AHE13" s="129"/>
      <c r="AHF13" s="129"/>
      <c r="AHG13" s="129"/>
      <c r="AHH13" s="129"/>
      <c r="AHI13" s="129"/>
      <c r="AHJ13" s="129"/>
      <c r="AHK13" s="129"/>
      <c r="AHL13" s="129"/>
      <c r="AHM13" s="129"/>
      <c r="AHN13" s="129"/>
      <c r="AHO13" s="129"/>
      <c r="AHP13" s="129"/>
      <c r="AHQ13" s="129"/>
      <c r="AHR13" s="129"/>
      <c r="AHS13" s="129"/>
      <c r="AHT13" s="129"/>
      <c r="AHU13" s="129"/>
      <c r="AHV13" s="129"/>
      <c r="AHW13" s="129"/>
      <c r="AHX13" s="129"/>
      <c r="AHY13" s="129"/>
      <c r="AHZ13" s="129"/>
      <c r="AIA13" s="129"/>
      <c r="AIB13" s="129"/>
      <c r="AIC13" s="129"/>
      <c r="AID13" s="129"/>
      <c r="AIE13" s="129"/>
      <c r="AIF13" s="129"/>
      <c r="AIG13" s="129"/>
      <c r="AIH13" s="129"/>
      <c r="AII13" s="129"/>
      <c r="AIJ13" s="129"/>
      <c r="AIK13" s="129"/>
      <c r="AIL13" s="129"/>
      <c r="AIM13" s="129"/>
      <c r="AIN13" s="129"/>
      <c r="AIO13" s="129"/>
      <c r="AIP13" s="129"/>
      <c r="AIQ13" s="129"/>
      <c r="AIR13" s="129"/>
      <c r="AIS13" s="129"/>
      <c r="AIT13" s="129"/>
      <c r="AIU13" s="129"/>
      <c r="AIV13" s="129"/>
      <c r="AIW13" s="129"/>
      <c r="AIX13" s="129"/>
      <c r="AIY13" s="129"/>
      <c r="AIZ13" s="129"/>
      <c r="AJA13" s="129"/>
      <c r="AJB13" s="129"/>
      <c r="AJC13" s="129"/>
      <c r="AJD13" s="129"/>
      <c r="AJE13" s="129"/>
      <c r="AJF13" s="129"/>
      <c r="AJG13" s="129"/>
      <c r="AJH13" s="129"/>
      <c r="AJI13" s="129"/>
      <c r="AJJ13" s="129"/>
      <c r="AJK13" s="129"/>
      <c r="AJL13" s="129"/>
      <c r="AJM13" s="129"/>
      <c r="AJN13" s="129"/>
      <c r="AJO13" s="129"/>
      <c r="AJP13" s="129"/>
      <c r="AJQ13" s="129"/>
      <c r="AJR13" s="129"/>
      <c r="AJS13" s="129"/>
      <c r="AJT13" s="129"/>
      <c r="AJU13" s="129"/>
      <c r="AJV13" s="129"/>
      <c r="AJW13" s="129"/>
      <c r="AJX13" s="129"/>
      <c r="AJY13" s="129"/>
      <c r="AJZ13" s="129"/>
      <c r="AKA13" s="129"/>
      <c r="AKB13" s="129"/>
      <c r="AKC13" s="129"/>
      <c r="AKD13" s="129"/>
      <c r="AKE13" s="129"/>
      <c r="AKF13" s="129"/>
      <c r="AKG13" s="129"/>
      <c r="AKH13" s="129"/>
      <c r="AKI13" s="129"/>
      <c r="AKJ13" s="129"/>
      <c r="AKK13" s="129"/>
      <c r="AKL13" s="129"/>
      <c r="AKM13" s="129"/>
      <c r="AKN13" s="129"/>
      <c r="AKO13" s="129"/>
      <c r="AKP13" s="129"/>
      <c r="AKQ13" s="129"/>
      <c r="AKR13" s="129"/>
      <c r="AKS13" s="129"/>
      <c r="AKT13" s="129"/>
      <c r="AKU13" s="129"/>
      <c r="AKV13" s="129"/>
      <c r="AKW13" s="129"/>
      <c r="AKX13" s="129"/>
      <c r="AKY13" s="129"/>
      <c r="AKZ13" s="129"/>
      <c r="ALA13" s="129"/>
      <c r="ALB13" s="129"/>
      <c r="ALC13" s="129"/>
      <c r="ALD13" s="129"/>
      <c r="ALE13" s="129"/>
      <c r="ALF13" s="129"/>
      <c r="ALG13" s="129"/>
      <c r="ALH13" s="129"/>
      <c r="ALI13" s="129"/>
      <c r="ALJ13" s="129"/>
      <c r="ALK13" s="129"/>
      <c r="ALL13" s="129"/>
      <c r="ALM13" s="129"/>
      <c r="ALN13" s="129"/>
      <c r="ALO13" s="129"/>
      <c r="ALP13" s="129"/>
      <c r="ALQ13" s="129"/>
      <c r="ALR13" s="129"/>
      <c r="ALS13" s="129"/>
      <c r="ALT13" s="129"/>
      <c r="ALU13" s="129"/>
      <c r="ALV13" s="129"/>
      <c r="ALW13" s="129"/>
      <c r="ALX13" s="129"/>
      <c r="ALY13" s="129"/>
      <c r="ALZ13" s="129"/>
      <c r="AMA13" s="129"/>
      <c r="AMB13" s="129"/>
      <c r="AMC13" s="129"/>
      <c r="AMD13" s="129"/>
      <c r="AME13" s="129"/>
      <c r="AMF13" s="129"/>
      <c r="AMG13" s="129"/>
      <c r="AMH13" s="129"/>
      <c r="AMI13" s="129"/>
      <c r="AMJ13" s="129"/>
      <c r="AMK13" s="129"/>
      <c r="AML13" s="129"/>
      <c r="AMM13" s="129"/>
      <c r="AMN13" s="129"/>
      <c r="AMO13" s="129"/>
      <c r="AMP13" s="129"/>
      <c r="AMQ13" s="129"/>
      <c r="AMR13" s="129"/>
      <c r="AMS13" s="129"/>
      <c r="AMT13" s="129"/>
      <c r="AMU13" s="129"/>
      <c r="AMV13" s="129"/>
      <c r="AMW13" s="129"/>
      <c r="AMX13" s="129"/>
      <c r="AMY13" s="129"/>
      <c r="AMZ13" s="129"/>
      <c r="ANA13" s="129"/>
      <c r="ANB13" s="129"/>
      <c r="ANC13" s="129"/>
      <c r="AND13" s="129"/>
      <c r="ANE13" s="129"/>
      <c r="ANF13" s="129"/>
      <c r="ANG13" s="129"/>
      <c r="ANH13" s="129"/>
      <c r="ANI13" s="129"/>
      <c r="ANJ13" s="129"/>
      <c r="ANK13" s="129"/>
      <c r="ANL13" s="129"/>
      <c r="ANM13" s="129"/>
      <c r="ANN13" s="129"/>
      <c r="ANO13" s="129"/>
      <c r="ANP13" s="129"/>
      <c r="ANQ13" s="129"/>
      <c r="ANR13" s="129"/>
      <c r="ANS13" s="129"/>
      <c r="ANT13" s="129"/>
      <c r="ANU13" s="129"/>
      <c r="ANV13" s="129"/>
      <c r="ANW13" s="129"/>
      <c r="ANX13" s="129"/>
      <c r="ANY13" s="129"/>
      <c r="ANZ13" s="129"/>
      <c r="AOA13" s="129"/>
      <c r="AOB13" s="129"/>
      <c r="AOC13" s="129"/>
      <c r="AOD13" s="129"/>
      <c r="AOE13" s="129"/>
      <c r="AOF13" s="129"/>
      <c r="AOG13" s="129"/>
      <c r="AOH13" s="129"/>
      <c r="AOI13" s="129"/>
      <c r="AOJ13" s="129"/>
      <c r="AOK13" s="129"/>
      <c r="AOL13" s="129"/>
      <c r="AOM13" s="129"/>
      <c r="AON13" s="129"/>
      <c r="AOO13" s="129"/>
      <c r="AOP13" s="129"/>
      <c r="AOQ13" s="129"/>
      <c r="AOR13" s="129"/>
      <c r="AOS13" s="129"/>
      <c r="AOT13" s="129"/>
      <c r="AOU13" s="129"/>
      <c r="AOV13" s="129"/>
      <c r="AOW13" s="129"/>
      <c r="AOX13" s="129"/>
      <c r="AOY13" s="129"/>
      <c r="AOZ13" s="129"/>
      <c r="APA13" s="129"/>
      <c r="APB13" s="129"/>
      <c r="APC13" s="129"/>
      <c r="APD13" s="129"/>
      <c r="APE13" s="129"/>
      <c r="APF13" s="129"/>
      <c r="APG13" s="129"/>
      <c r="APH13" s="129"/>
      <c r="API13" s="129"/>
      <c r="APJ13" s="129"/>
      <c r="APK13" s="129"/>
      <c r="APL13" s="129"/>
      <c r="APM13" s="129"/>
      <c r="APN13" s="129"/>
      <c r="APO13" s="129"/>
      <c r="APP13" s="129"/>
      <c r="APQ13" s="129"/>
      <c r="APR13" s="129"/>
      <c r="APS13" s="129"/>
      <c r="APT13" s="129"/>
      <c r="APU13" s="129"/>
      <c r="APV13" s="129"/>
      <c r="APW13" s="129"/>
      <c r="APX13" s="129"/>
      <c r="APY13" s="129"/>
      <c r="APZ13" s="129"/>
      <c r="AQA13" s="129"/>
      <c r="AQB13" s="129"/>
      <c r="AQC13" s="129"/>
      <c r="AQD13" s="129"/>
      <c r="AQE13" s="129"/>
      <c r="AQF13" s="129"/>
      <c r="AQG13" s="129"/>
      <c r="AQH13" s="129"/>
      <c r="AQI13" s="129"/>
      <c r="AQJ13" s="129"/>
      <c r="AQK13" s="129"/>
      <c r="AQL13" s="129"/>
      <c r="AQM13" s="129"/>
      <c r="AQN13" s="129"/>
      <c r="AQO13" s="129"/>
      <c r="AQP13" s="129"/>
      <c r="AQQ13" s="129"/>
      <c r="AQR13" s="129"/>
      <c r="AQS13" s="129"/>
      <c r="AQT13" s="129"/>
      <c r="AQU13" s="129"/>
      <c r="AQV13" s="129"/>
      <c r="AQW13" s="129"/>
      <c r="AQX13" s="129"/>
      <c r="AQY13" s="129"/>
      <c r="AQZ13" s="129"/>
      <c r="ARA13" s="129"/>
      <c r="ARB13" s="129"/>
      <c r="ARC13" s="129"/>
      <c r="ARD13" s="129"/>
      <c r="ARE13" s="129"/>
      <c r="ARF13" s="129"/>
      <c r="ARG13" s="129"/>
      <c r="ARH13" s="129"/>
      <c r="ARI13" s="129"/>
      <c r="ARJ13" s="129"/>
      <c r="ARK13" s="129"/>
      <c r="ARL13" s="129"/>
      <c r="ARM13" s="129"/>
      <c r="ARN13" s="129"/>
      <c r="ARO13" s="129"/>
      <c r="ARP13" s="129"/>
      <c r="ARQ13" s="129"/>
      <c r="ARR13" s="129"/>
      <c r="ARS13" s="129"/>
      <c r="ART13" s="129"/>
      <c r="ARU13" s="129"/>
      <c r="ARV13" s="129"/>
      <c r="ARW13" s="129"/>
      <c r="ARX13" s="129"/>
      <c r="ARY13" s="129"/>
      <c r="ARZ13" s="129"/>
      <c r="ASA13" s="129"/>
      <c r="ASB13" s="129"/>
      <c r="ASC13" s="129"/>
      <c r="ASD13" s="129"/>
      <c r="ASE13" s="129"/>
      <c r="ASF13" s="129"/>
      <c r="ASG13" s="129"/>
      <c r="ASH13" s="129"/>
      <c r="ASI13" s="129"/>
      <c r="ASJ13" s="129"/>
      <c r="ASK13" s="129"/>
      <c r="ASL13" s="129"/>
      <c r="ASM13" s="129"/>
      <c r="ASN13" s="129"/>
      <c r="ASO13" s="129"/>
      <c r="ASP13" s="129"/>
      <c r="ASQ13" s="129"/>
      <c r="ASR13" s="129"/>
      <c r="ASS13" s="129"/>
      <c r="AST13" s="129"/>
      <c r="ASU13" s="129"/>
      <c r="ASV13" s="129"/>
      <c r="ASW13" s="129"/>
      <c r="ASX13" s="129"/>
      <c r="ASY13" s="129"/>
      <c r="ASZ13" s="129"/>
      <c r="ATA13" s="129"/>
      <c r="ATB13" s="129"/>
      <c r="ATC13" s="129"/>
      <c r="ATD13" s="129"/>
      <c r="ATE13" s="129"/>
      <c r="ATF13" s="129"/>
      <c r="ATG13" s="129"/>
      <c r="ATH13" s="129"/>
      <c r="ATI13" s="129"/>
      <c r="ATJ13" s="129"/>
      <c r="ATK13" s="129"/>
      <c r="ATL13" s="129"/>
      <c r="ATM13" s="129"/>
      <c r="ATN13" s="129"/>
      <c r="ATO13" s="129"/>
      <c r="ATP13" s="129"/>
      <c r="ATQ13" s="129"/>
      <c r="ATR13" s="129"/>
      <c r="ATS13" s="129"/>
      <c r="ATT13" s="129"/>
      <c r="ATU13" s="129"/>
      <c r="ATV13" s="129"/>
      <c r="ATW13" s="129"/>
      <c r="ATX13" s="129"/>
      <c r="ATY13" s="129"/>
      <c r="ATZ13" s="129"/>
      <c r="AUA13" s="129"/>
      <c r="AUB13" s="129"/>
      <c r="AUC13" s="129"/>
      <c r="AUD13" s="129"/>
      <c r="AUE13" s="129"/>
      <c r="AUF13" s="129"/>
      <c r="AUG13" s="129"/>
      <c r="AUH13" s="129"/>
      <c r="AUI13" s="129"/>
      <c r="AUJ13" s="129"/>
      <c r="AUK13" s="129"/>
      <c r="AUL13" s="129"/>
      <c r="AUM13" s="129"/>
      <c r="AUN13" s="129"/>
      <c r="AUO13" s="129"/>
      <c r="AUP13" s="129"/>
      <c r="AUQ13" s="129"/>
      <c r="AUR13" s="129"/>
      <c r="AUS13" s="129"/>
      <c r="AUT13" s="129"/>
      <c r="AUU13" s="129"/>
      <c r="AUV13" s="129"/>
      <c r="AUW13" s="129"/>
      <c r="AUX13" s="129"/>
      <c r="AUY13" s="129"/>
      <c r="AUZ13" s="129"/>
      <c r="AVA13" s="129"/>
      <c r="AVB13" s="129"/>
      <c r="AVC13" s="129"/>
      <c r="AVD13" s="129"/>
      <c r="AVE13" s="129"/>
      <c r="AVF13" s="129"/>
      <c r="AVG13" s="129"/>
      <c r="AVH13" s="129"/>
      <c r="AVI13" s="129"/>
      <c r="AVJ13" s="129"/>
      <c r="AVK13" s="129"/>
      <c r="AVL13" s="129"/>
      <c r="AVM13" s="129"/>
      <c r="AVN13" s="129"/>
      <c r="AVO13" s="129"/>
      <c r="AVP13" s="129"/>
      <c r="AVQ13" s="129"/>
      <c r="AVR13" s="129"/>
      <c r="AVS13" s="129"/>
      <c r="AVT13" s="129"/>
      <c r="AVU13" s="129"/>
      <c r="AVV13" s="129"/>
      <c r="AVW13" s="129"/>
      <c r="AVX13" s="129"/>
      <c r="AVY13" s="129"/>
      <c r="AVZ13" s="129"/>
      <c r="AWA13" s="129"/>
      <c r="AWB13" s="129"/>
      <c r="AWC13" s="129"/>
      <c r="AWD13" s="129"/>
      <c r="AWE13" s="129"/>
      <c r="AWF13" s="129"/>
      <c r="AWG13" s="129"/>
      <c r="AWH13" s="129"/>
      <c r="AWI13" s="129"/>
      <c r="AWJ13" s="129"/>
      <c r="AWK13" s="129"/>
      <c r="AWL13" s="129"/>
      <c r="AWM13" s="129"/>
      <c r="AWN13" s="129"/>
      <c r="AWO13" s="129"/>
      <c r="AWP13" s="129"/>
      <c r="AWQ13" s="129"/>
      <c r="AWR13" s="129"/>
      <c r="AWS13" s="129"/>
      <c r="AWT13" s="129"/>
      <c r="AWU13" s="129"/>
      <c r="AWV13" s="129"/>
      <c r="AWW13" s="129"/>
      <c r="AWX13" s="129"/>
      <c r="AWY13" s="129"/>
      <c r="AWZ13" s="129"/>
      <c r="AXA13" s="129"/>
      <c r="AXB13" s="129"/>
      <c r="AXC13" s="129"/>
      <c r="AXD13" s="129"/>
      <c r="AXE13" s="129"/>
      <c r="AXF13" s="129"/>
      <c r="AXG13" s="129"/>
      <c r="AXH13" s="129"/>
      <c r="AXI13" s="129"/>
      <c r="AXJ13" s="129"/>
      <c r="AXK13" s="129"/>
      <c r="AXL13" s="129"/>
      <c r="AXM13" s="129"/>
      <c r="AXN13" s="129"/>
      <c r="AXO13" s="129"/>
      <c r="AXP13" s="129"/>
      <c r="AXQ13" s="129"/>
      <c r="AXR13" s="129"/>
      <c r="AXS13" s="129"/>
      <c r="AXT13" s="129"/>
      <c r="AXU13" s="129"/>
      <c r="AXV13" s="129"/>
      <c r="AXW13" s="129"/>
      <c r="AXX13" s="129"/>
      <c r="AXY13" s="129"/>
      <c r="AXZ13" s="129"/>
      <c r="AYA13" s="129"/>
      <c r="AYB13" s="129"/>
      <c r="AYC13" s="129"/>
      <c r="AYD13" s="129"/>
      <c r="AYE13" s="129"/>
      <c r="AYF13" s="129"/>
      <c r="AYG13" s="129"/>
      <c r="AYH13" s="129"/>
      <c r="AYI13" s="129"/>
      <c r="AYJ13" s="129"/>
      <c r="AYK13" s="129"/>
      <c r="AYL13" s="129"/>
      <c r="AYM13" s="129"/>
      <c r="AYN13" s="129"/>
      <c r="AYO13" s="129"/>
      <c r="AYP13" s="129"/>
      <c r="AYQ13" s="129"/>
      <c r="AYR13" s="129"/>
      <c r="AYS13" s="129"/>
      <c r="AYT13" s="129"/>
      <c r="AYU13" s="129"/>
      <c r="AYV13" s="129"/>
      <c r="AYW13" s="129"/>
      <c r="AYX13" s="129"/>
      <c r="AYY13" s="129"/>
      <c r="AYZ13" s="129"/>
      <c r="AZA13" s="129"/>
      <c r="AZB13" s="129"/>
      <c r="AZC13" s="129"/>
      <c r="AZD13" s="129"/>
      <c r="AZE13" s="129"/>
      <c r="AZF13" s="129"/>
      <c r="AZG13" s="129"/>
      <c r="AZH13" s="129"/>
      <c r="AZI13" s="129"/>
      <c r="AZJ13" s="129"/>
      <c r="AZK13" s="129"/>
      <c r="AZL13" s="129"/>
      <c r="AZM13" s="129"/>
      <c r="AZN13" s="129"/>
      <c r="AZO13" s="129"/>
      <c r="AZP13" s="129"/>
      <c r="AZQ13" s="129"/>
      <c r="AZR13" s="129"/>
      <c r="AZS13" s="129"/>
      <c r="AZT13" s="129"/>
      <c r="AZU13" s="129"/>
      <c r="AZV13" s="129"/>
      <c r="AZW13" s="129"/>
      <c r="AZX13" s="129"/>
      <c r="AZY13" s="129"/>
      <c r="AZZ13" s="129"/>
      <c r="BAA13" s="129"/>
      <c r="BAB13" s="129"/>
      <c r="BAC13" s="129"/>
      <c r="BAD13" s="129"/>
      <c r="BAE13" s="129"/>
      <c r="BAF13" s="129"/>
      <c r="BAG13" s="129"/>
      <c r="BAH13" s="129"/>
      <c r="BAI13" s="129"/>
      <c r="BAJ13" s="129"/>
      <c r="BAK13" s="129"/>
      <c r="BAL13" s="129"/>
      <c r="BAM13" s="129"/>
      <c r="BAN13" s="129"/>
      <c r="BAO13" s="129"/>
      <c r="BAP13" s="129"/>
      <c r="BAQ13" s="129"/>
      <c r="BAR13" s="129"/>
      <c r="BAS13" s="129"/>
      <c r="BAT13" s="129"/>
      <c r="BAU13" s="129"/>
      <c r="BAV13" s="129"/>
      <c r="BAW13" s="129"/>
      <c r="BAX13" s="129"/>
      <c r="BAY13" s="129"/>
      <c r="BAZ13" s="129"/>
      <c r="BBA13" s="129"/>
      <c r="BBB13" s="129"/>
      <c r="BBC13" s="129"/>
      <c r="BBD13" s="129"/>
      <c r="BBE13" s="129"/>
      <c r="BBF13" s="129"/>
      <c r="BBG13" s="129"/>
      <c r="BBH13" s="129"/>
      <c r="BBI13" s="129"/>
      <c r="BBJ13" s="129"/>
      <c r="BBK13" s="129"/>
      <c r="BBL13" s="129"/>
      <c r="BBM13" s="129"/>
      <c r="BBN13" s="129"/>
      <c r="BBO13" s="129"/>
      <c r="BBP13" s="129"/>
      <c r="BBQ13" s="129"/>
      <c r="BBR13" s="129"/>
      <c r="BBS13" s="129"/>
      <c r="BBT13" s="129"/>
      <c r="BBU13" s="129"/>
      <c r="BBV13" s="129"/>
      <c r="BBW13" s="129"/>
      <c r="BBX13" s="129"/>
      <c r="BBY13" s="129"/>
      <c r="BBZ13" s="129"/>
      <c r="BCA13" s="129"/>
      <c r="BCB13" s="129"/>
      <c r="BCC13" s="129"/>
      <c r="BCD13" s="129"/>
      <c r="BCE13" s="129"/>
      <c r="BCF13" s="129"/>
      <c r="BCG13" s="129"/>
      <c r="BCH13" s="129"/>
      <c r="BCI13" s="129"/>
      <c r="BCJ13" s="129"/>
      <c r="BCK13" s="129"/>
      <c r="BCL13" s="129"/>
      <c r="BCM13" s="129"/>
      <c r="BCN13" s="129"/>
      <c r="BCO13" s="129"/>
      <c r="BCP13" s="129"/>
      <c r="BCQ13" s="129"/>
      <c r="BCR13" s="129"/>
      <c r="BCS13" s="129"/>
      <c r="BCT13" s="129"/>
      <c r="BCU13" s="129"/>
      <c r="BCV13" s="129"/>
      <c r="BCW13" s="129"/>
      <c r="BCX13" s="129"/>
      <c r="BCY13" s="129"/>
      <c r="BCZ13" s="129"/>
      <c r="BDA13" s="129"/>
      <c r="BDB13" s="129"/>
      <c r="BDC13" s="129"/>
      <c r="BDD13" s="129"/>
      <c r="BDE13" s="129"/>
      <c r="BDF13" s="129"/>
      <c r="BDG13" s="129"/>
      <c r="BDH13" s="129"/>
      <c r="BDI13" s="129"/>
      <c r="BDJ13" s="129"/>
      <c r="BDK13" s="129"/>
      <c r="BDL13" s="129"/>
      <c r="BDM13" s="129"/>
      <c r="BDN13" s="129"/>
      <c r="BDO13" s="129"/>
      <c r="BDP13" s="129"/>
      <c r="BDQ13" s="129"/>
      <c r="BDR13" s="129"/>
      <c r="BDS13" s="129"/>
      <c r="BDT13" s="129"/>
      <c r="BDU13" s="129"/>
      <c r="BDV13" s="129"/>
      <c r="BDW13" s="129"/>
      <c r="BDX13" s="129"/>
      <c r="BDY13" s="129"/>
      <c r="BDZ13" s="129"/>
      <c r="BEA13" s="129"/>
      <c r="BEB13" s="129"/>
      <c r="BEC13" s="129"/>
      <c r="BED13" s="129"/>
      <c r="BEE13" s="129"/>
      <c r="BEF13" s="129"/>
      <c r="BEG13" s="129"/>
      <c r="BEH13" s="129"/>
      <c r="BEI13" s="129"/>
      <c r="BEJ13" s="129"/>
      <c r="BEK13" s="129"/>
      <c r="BEL13" s="129"/>
      <c r="BEM13" s="129"/>
      <c r="BEN13" s="129"/>
      <c r="BEO13" s="129"/>
      <c r="BEP13" s="129"/>
      <c r="BEQ13" s="129"/>
      <c r="BER13" s="129"/>
      <c r="BES13" s="129"/>
      <c r="BET13" s="129"/>
      <c r="BEU13" s="129"/>
      <c r="BEV13" s="129"/>
      <c r="BEW13" s="129"/>
      <c r="BEX13" s="129"/>
      <c r="BEY13" s="129"/>
      <c r="BEZ13" s="129"/>
      <c r="BFA13" s="129"/>
      <c r="BFB13" s="129"/>
      <c r="BFC13" s="129"/>
      <c r="BFD13" s="129"/>
      <c r="BFE13" s="129"/>
      <c r="BFF13" s="129"/>
      <c r="BFG13" s="129"/>
      <c r="BFH13" s="129"/>
      <c r="BFI13" s="129"/>
      <c r="BFJ13" s="129"/>
      <c r="BFK13" s="129"/>
      <c r="BFL13" s="129"/>
      <c r="BFM13" s="129"/>
      <c r="BFN13" s="129"/>
      <c r="BFO13" s="129"/>
      <c r="BFP13" s="129"/>
      <c r="BFQ13" s="129"/>
      <c r="BFR13" s="129"/>
      <c r="BFS13" s="129"/>
      <c r="BFT13" s="129"/>
      <c r="BFU13" s="129"/>
      <c r="BFV13" s="129"/>
      <c r="BFW13" s="129"/>
      <c r="BFX13" s="129"/>
      <c r="BFY13" s="129"/>
      <c r="BFZ13" s="129"/>
      <c r="BGA13" s="129"/>
      <c r="BGB13" s="129"/>
      <c r="BGC13" s="129"/>
      <c r="BGD13" s="129"/>
      <c r="BGE13" s="129"/>
      <c r="BGF13" s="129"/>
      <c r="BGG13" s="129"/>
      <c r="BGH13" s="129"/>
      <c r="BGI13" s="129"/>
      <c r="BGJ13" s="129"/>
      <c r="BGK13" s="129"/>
      <c r="BGL13" s="129"/>
      <c r="BGM13" s="129"/>
      <c r="BGN13" s="129"/>
      <c r="BGO13" s="129"/>
      <c r="BGP13" s="129"/>
      <c r="BGQ13" s="129"/>
      <c r="BGR13" s="129"/>
      <c r="BGS13" s="129"/>
      <c r="BGT13" s="129"/>
      <c r="BGU13" s="129"/>
      <c r="BGV13" s="129"/>
      <c r="BGW13" s="129"/>
      <c r="BGX13" s="129"/>
      <c r="BGY13" s="129"/>
      <c r="BGZ13" s="129"/>
      <c r="BHA13" s="129"/>
      <c r="BHB13" s="129"/>
      <c r="BHC13" s="129"/>
      <c r="BHD13" s="129"/>
      <c r="BHE13" s="129"/>
      <c r="BHF13" s="129"/>
      <c r="BHG13" s="129"/>
      <c r="BHH13" s="129"/>
      <c r="BHI13" s="129"/>
      <c r="BHJ13" s="129"/>
      <c r="BHK13" s="129"/>
      <c r="BHL13" s="129"/>
      <c r="BHM13" s="129"/>
      <c r="BHN13" s="129"/>
      <c r="BHO13" s="129"/>
      <c r="BHP13" s="129"/>
      <c r="BHQ13" s="129"/>
      <c r="BHR13" s="129"/>
      <c r="BHS13" s="129"/>
      <c r="BHT13" s="129"/>
      <c r="BHU13" s="129"/>
      <c r="BHV13" s="129"/>
      <c r="BHW13" s="129"/>
      <c r="BHX13" s="129"/>
      <c r="BHY13" s="129"/>
      <c r="BHZ13" s="129"/>
      <c r="BIA13" s="129"/>
      <c r="BIB13" s="129"/>
      <c r="BIC13" s="129"/>
      <c r="BID13" s="129"/>
      <c r="BIE13" s="129"/>
      <c r="BIF13" s="129"/>
      <c r="BIG13" s="129"/>
      <c r="BIH13" s="129"/>
      <c r="BII13" s="129"/>
      <c r="BIJ13" s="129"/>
      <c r="BIK13" s="129"/>
      <c r="BIL13" s="129"/>
      <c r="BIM13" s="129"/>
      <c r="BIN13" s="129"/>
      <c r="BIO13" s="129"/>
      <c r="BIP13" s="129"/>
      <c r="BIQ13" s="129"/>
      <c r="BIR13" s="129"/>
      <c r="BIS13" s="129"/>
      <c r="BIT13" s="129"/>
      <c r="BIU13" s="129"/>
      <c r="BIV13" s="129"/>
      <c r="BIW13" s="129"/>
      <c r="BIX13" s="129"/>
      <c r="BIY13" s="129"/>
      <c r="BIZ13" s="129"/>
      <c r="BJA13" s="129"/>
      <c r="BJB13" s="129"/>
      <c r="BJC13" s="129"/>
      <c r="BJD13" s="129"/>
      <c r="BJE13" s="129"/>
      <c r="BJF13" s="129"/>
      <c r="BJG13" s="129"/>
      <c r="BJH13" s="129"/>
      <c r="BJI13" s="129"/>
      <c r="BJJ13" s="129"/>
      <c r="BJK13" s="129"/>
      <c r="BJL13" s="129"/>
      <c r="BJM13" s="129"/>
      <c r="BJN13" s="129"/>
      <c r="BJO13" s="129"/>
      <c r="BJP13" s="129"/>
      <c r="BJQ13" s="129"/>
      <c r="BJR13" s="129"/>
      <c r="BJS13" s="129"/>
      <c r="BJT13" s="129"/>
      <c r="BJU13" s="129"/>
      <c r="BJV13" s="129"/>
      <c r="BJW13" s="129"/>
      <c r="BJX13" s="129"/>
      <c r="BJY13" s="129"/>
      <c r="BJZ13" s="129"/>
      <c r="BKA13" s="129"/>
      <c r="BKB13" s="129"/>
      <c r="BKC13" s="129"/>
      <c r="BKD13" s="129"/>
      <c r="BKE13" s="129"/>
      <c r="BKF13" s="129"/>
      <c r="BKG13" s="129"/>
      <c r="BKH13" s="129"/>
      <c r="BKI13" s="129"/>
      <c r="BKJ13" s="129"/>
      <c r="BKK13" s="129"/>
      <c r="BKL13" s="129"/>
      <c r="BKM13" s="129"/>
      <c r="BKN13" s="129"/>
      <c r="BKO13" s="129"/>
      <c r="BKP13" s="129"/>
      <c r="BKQ13" s="129"/>
      <c r="BKR13" s="129"/>
      <c r="BKS13" s="129"/>
      <c r="BKT13" s="129"/>
      <c r="BKU13" s="129"/>
      <c r="BKV13" s="129"/>
      <c r="BKW13" s="129"/>
      <c r="BKX13" s="129"/>
      <c r="BKY13" s="129"/>
      <c r="BKZ13" s="129"/>
      <c r="BLA13" s="129"/>
      <c r="BLB13" s="129"/>
      <c r="BLC13" s="129"/>
      <c r="BLD13" s="129"/>
      <c r="BLE13" s="129"/>
      <c r="BLF13" s="129"/>
      <c r="BLG13" s="129"/>
      <c r="BLH13" s="129"/>
      <c r="BLI13" s="129"/>
      <c r="BLJ13" s="129"/>
      <c r="BLK13" s="129"/>
      <c r="BLL13" s="129"/>
      <c r="BLM13" s="129"/>
      <c r="BLN13" s="129"/>
      <c r="BLO13" s="129"/>
      <c r="BLP13" s="129"/>
      <c r="BLQ13" s="129"/>
      <c r="BLR13" s="129"/>
      <c r="BLS13" s="129"/>
      <c r="BLT13" s="129"/>
      <c r="BLU13" s="129"/>
      <c r="BLV13" s="129"/>
      <c r="BLW13" s="129"/>
      <c r="BLX13" s="129"/>
      <c r="BLY13" s="129"/>
      <c r="BLZ13" s="129"/>
      <c r="BMA13" s="129"/>
      <c r="BMB13" s="129"/>
      <c r="BMC13" s="129"/>
      <c r="BMD13" s="129"/>
      <c r="BME13" s="129"/>
      <c r="BMF13" s="129"/>
      <c r="BMG13" s="129"/>
      <c r="BMH13" s="129"/>
      <c r="BMI13" s="129"/>
      <c r="BMJ13" s="129"/>
      <c r="BMK13" s="129"/>
      <c r="BML13" s="129"/>
      <c r="BMM13" s="129"/>
      <c r="BMN13" s="129"/>
      <c r="BMO13" s="129"/>
      <c r="BMP13" s="129"/>
      <c r="BMQ13" s="129"/>
      <c r="BMR13" s="129"/>
      <c r="BMS13" s="129"/>
      <c r="BMT13" s="129"/>
      <c r="BMU13" s="129"/>
      <c r="BMV13" s="129"/>
      <c r="BMW13" s="129"/>
      <c r="BMX13" s="129"/>
      <c r="BMY13" s="129"/>
      <c r="BMZ13" s="129"/>
      <c r="BNA13" s="129"/>
      <c r="BNB13" s="129"/>
      <c r="BNC13" s="129"/>
      <c r="BND13" s="129"/>
      <c r="BNE13" s="129"/>
      <c r="BNF13" s="129"/>
      <c r="BNG13" s="129"/>
      <c r="BNH13" s="129"/>
      <c r="BNI13" s="129"/>
      <c r="BNJ13" s="129"/>
      <c r="BNK13" s="129"/>
      <c r="BNL13" s="129"/>
      <c r="BNM13" s="129"/>
      <c r="BNN13" s="129"/>
      <c r="BNO13" s="129"/>
      <c r="BNP13" s="129"/>
      <c r="BNQ13" s="129"/>
      <c r="BNR13" s="129"/>
      <c r="BNS13" s="129"/>
      <c r="BNT13" s="129"/>
      <c r="BNU13" s="129"/>
      <c r="BNV13" s="129"/>
      <c r="BNW13" s="129"/>
      <c r="BNX13" s="129"/>
      <c r="BNY13" s="129"/>
      <c r="BNZ13" s="129"/>
      <c r="BOA13" s="129"/>
      <c r="BOB13" s="129"/>
      <c r="BOC13" s="129"/>
      <c r="BOD13" s="129"/>
      <c r="BOE13" s="129"/>
      <c r="BOF13" s="129"/>
      <c r="BOG13" s="129"/>
      <c r="BOH13" s="129"/>
      <c r="BOI13" s="129"/>
      <c r="BOJ13" s="129"/>
      <c r="BOK13" s="129"/>
      <c r="BOL13" s="129"/>
      <c r="BOM13" s="129"/>
      <c r="BON13" s="129"/>
      <c r="BOO13" s="129"/>
      <c r="BOP13" s="129"/>
      <c r="BOQ13" s="129"/>
      <c r="BOR13" s="129"/>
      <c r="BOS13" s="129"/>
      <c r="BOT13" s="129"/>
      <c r="BOU13" s="129"/>
      <c r="BOV13" s="129"/>
      <c r="BOW13" s="129"/>
      <c r="BOX13" s="129"/>
      <c r="BOY13" s="129"/>
      <c r="BOZ13" s="129"/>
      <c r="BPA13" s="129"/>
      <c r="BPB13" s="129"/>
      <c r="BPC13" s="129"/>
      <c r="BPD13" s="129"/>
      <c r="BPE13" s="129"/>
      <c r="BPF13" s="129"/>
      <c r="BPG13" s="129"/>
      <c r="BPH13" s="129"/>
      <c r="BPI13" s="129"/>
      <c r="BPJ13" s="129"/>
      <c r="BPK13" s="129"/>
      <c r="BPL13" s="129"/>
      <c r="BPM13" s="129"/>
      <c r="BPN13" s="129"/>
      <c r="BPO13" s="129"/>
      <c r="BPP13" s="129"/>
      <c r="BPQ13" s="129"/>
      <c r="BPR13" s="129"/>
      <c r="BPS13" s="129"/>
      <c r="BPT13" s="129"/>
      <c r="BPU13" s="129"/>
      <c r="BPV13" s="129"/>
      <c r="BPW13" s="129"/>
      <c r="BPX13" s="129"/>
      <c r="BPY13" s="129"/>
      <c r="BPZ13" s="129"/>
      <c r="BQA13" s="129"/>
      <c r="BQB13" s="129"/>
      <c r="BQC13" s="129"/>
      <c r="BQD13" s="129"/>
      <c r="BQE13" s="129"/>
      <c r="BQF13" s="129"/>
      <c r="BQG13" s="129"/>
      <c r="BQH13" s="129"/>
      <c r="BQI13" s="129"/>
      <c r="BQJ13" s="129"/>
      <c r="BQK13" s="129"/>
      <c r="BQL13" s="129"/>
      <c r="BQM13" s="129"/>
      <c r="BQN13" s="129"/>
      <c r="BQO13" s="129"/>
      <c r="BQP13" s="129"/>
      <c r="BQQ13" s="129"/>
      <c r="BQR13" s="129"/>
      <c r="BQS13" s="129"/>
      <c r="BQT13" s="129"/>
      <c r="BQU13" s="129"/>
      <c r="BQV13" s="129"/>
      <c r="BQW13" s="129"/>
      <c r="BQX13" s="129"/>
      <c r="BQY13" s="129"/>
      <c r="BQZ13" s="129"/>
      <c r="BRA13" s="129"/>
      <c r="BRB13" s="129"/>
      <c r="BRC13" s="129"/>
      <c r="BRD13" s="129"/>
      <c r="BRE13" s="129"/>
      <c r="BRF13" s="129"/>
      <c r="BRG13" s="129"/>
      <c r="BRH13" s="129"/>
      <c r="BRI13" s="129"/>
      <c r="BRJ13" s="129"/>
      <c r="BRK13" s="129"/>
      <c r="BRL13" s="129"/>
      <c r="BRM13" s="129"/>
      <c r="BRN13" s="129"/>
      <c r="BRO13" s="129"/>
      <c r="BRP13" s="129"/>
      <c r="BRQ13" s="129"/>
      <c r="BRR13" s="129"/>
      <c r="BRS13" s="129"/>
      <c r="BRT13" s="129"/>
      <c r="BRU13" s="129"/>
      <c r="BRV13" s="129"/>
      <c r="BRW13" s="129"/>
      <c r="BRX13" s="129"/>
      <c r="BRY13" s="129"/>
      <c r="BRZ13" s="129"/>
      <c r="BSA13" s="129"/>
      <c r="BSB13" s="129"/>
      <c r="BSC13" s="129"/>
      <c r="BSD13" s="129"/>
      <c r="BSE13" s="129"/>
      <c r="BSF13" s="129"/>
      <c r="BSG13" s="129"/>
      <c r="BSH13" s="129"/>
      <c r="BSI13" s="129"/>
      <c r="BSJ13" s="129"/>
      <c r="BSK13" s="129"/>
      <c r="BSL13" s="129"/>
      <c r="BSM13" s="129"/>
      <c r="BSN13" s="129"/>
      <c r="BSO13" s="129"/>
      <c r="BSP13" s="129"/>
      <c r="BSQ13" s="129"/>
      <c r="BSR13" s="129"/>
      <c r="BSS13" s="129"/>
      <c r="BST13" s="129"/>
      <c r="BSU13" s="129"/>
      <c r="BSV13" s="129"/>
      <c r="BSW13" s="129"/>
      <c r="BSX13" s="129"/>
      <c r="BSY13" s="129"/>
      <c r="BSZ13" s="129"/>
      <c r="BTA13" s="129"/>
      <c r="BTB13" s="129"/>
      <c r="BTC13" s="129"/>
      <c r="BTD13" s="129"/>
      <c r="BTE13" s="129"/>
      <c r="BTF13" s="129"/>
      <c r="BTG13" s="129"/>
      <c r="BTH13" s="129"/>
      <c r="BTI13" s="129"/>
      <c r="BTJ13" s="129"/>
      <c r="BTK13" s="129"/>
      <c r="BTL13" s="129"/>
      <c r="BTM13" s="129"/>
      <c r="BTN13" s="129"/>
      <c r="BTO13" s="129"/>
      <c r="BTP13" s="129"/>
      <c r="BTQ13" s="129"/>
      <c r="BTR13" s="129"/>
      <c r="BTS13" s="129"/>
      <c r="BTT13" s="129"/>
      <c r="BTU13" s="129"/>
      <c r="BTV13" s="129"/>
      <c r="BTW13" s="129"/>
      <c r="BTX13" s="129"/>
      <c r="BTY13" s="129"/>
      <c r="BTZ13" s="129"/>
      <c r="BUA13" s="129"/>
      <c r="BUB13" s="129"/>
      <c r="BUC13" s="129"/>
      <c r="BUD13" s="129"/>
      <c r="BUE13" s="129"/>
      <c r="BUF13" s="129"/>
      <c r="BUG13" s="129"/>
      <c r="BUH13" s="129"/>
      <c r="BUI13" s="129"/>
      <c r="BUJ13" s="129"/>
      <c r="BUK13" s="129"/>
      <c r="BUL13" s="129"/>
      <c r="BUM13" s="129"/>
      <c r="BUN13" s="129"/>
      <c r="BUO13" s="129"/>
      <c r="BUP13" s="129"/>
      <c r="BUQ13" s="129"/>
      <c r="BUR13" s="129"/>
      <c r="BUS13" s="129"/>
      <c r="BUT13" s="129"/>
      <c r="BUU13" s="129"/>
      <c r="BUV13" s="129"/>
      <c r="BUW13" s="129"/>
      <c r="BUX13" s="129"/>
      <c r="BUY13" s="129"/>
      <c r="BUZ13" s="129"/>
      <c r="BVA13" s="129"/>
      <c r="BVB13" s="129"/>
      <c r="BVC13" s="129"/>
      <c r="BVD13" s="129"/>
      <c r="BVE13" s="129"/>
      <c r="BVF13" s="129"/>
      <c r="BVG13" s="129"/>
      <c r="BVH13" s="129"/>
      <c r="BVI13" s="129"/>
      <c r="BVJ13" s="129"/>
      <c r="BVK13" s="129"/>
      <c r="BVL13" s="129"/>
      <c r="BVM13" s="129"/>
      <c r="BVN13" s="129"/>
      <c r="BVO13" s="129"/>
      <c r="BVP13" s="129"/>
      <c r="BVQ13" s="129"/>
      <c r="BVR13" s="129"/>
      <c r="BVS13" s="129"/>
      <c r="BVT13" s="129"/>
      <c r="BVU13" s="129"/>
      <c r="BVV13" s="129"/>
      <c r="BVW13" s="129"/>
      <c r="BVX13" s="129"/>
      <c r="BVY13" s="129"/>
      <c r="BVZ13" s="129"/>
      <c r="BWA13" s="129"/>
      <c r="BWB13" s="129"/>
      <c r="BWC13" s="129"/>
      <c r="BWD13" s="129"/>
      <c r="BWE13" s="129"/>
      <c r="BWF13" s="129"/>
      <c r="BWG13" s="129"/>
      <c r="BWH13" s="129"/>
      <c r="BWI13" s="129"/>
      <c r="BWJ13" s="129"/>
      <c r="BWK13" s="129"/>
      <c r="BWL13" s="129"/>
      <c r="BWM13" s="129"/>
      <c r="BWN13" s="129"/>
      <c r="BWO13" s="129"/>
      <c r="BWP13" s="129"/>
      <c r="BWQ13" s="129"/>
      <c r="BWR13" s="129"/>
      <c r="BWS13" s="129"/>
      <c r="BWT13" s="129"/>
      <c r="BWU13" s="129"/>
      <c r="BWV13" s="129"/>
      <c r="BWW13" s="129"/>
      <c r="BWX13" s="129"/>
      <c r="BWY13" s="129"/>
      <c r="BWZ13" s="129"/>
      <c r="BXA13" s="129"/>
      <c r="BXB13" s="129"/>
      <c r="BXC13" s="129"/>
      <c r="BXD13" s="129"/>
      <c r="BXE13" s="129"/>
      <c r="BXF13" s="129"/>
      <c r="BXG13" s="129"/>
      <c r="BXH13" s="129"/>
      <c r="BXI13" s="129"/>
      <c r="BXJ13" s="129"/>
      <c r="BXK13" s="129"/>
      <c r="BXL13" s="129"/>
      <c r="BXM13" s="129"/>
      <c r="BXN13" s="129"/>
      <c r="BXO13" s="129"/>
      <c r="BXP13" s="129"/>
      <c r="BXQ13" s="129"/>
      <c r="BXR13" s="129"/>
      <c r="BXS13" s="129"/>
      <c r="BXT13" s="129"/>
      <c r="BXU13" s="129"/>
      <c r="BXV13" s="129"/>
      <c r="BXW13" s="129"/>
      <c r="BXX13" s="129"/>
      <c r="BXY13" s="129"/>
      <c r="BXZ13" s="129"/>
      <c r="BYA13" s="129"/>
      <c r="BYB13" s="129"/>
      <c r="BYC13" s="129"/>
      <c r="BYD13" s="129"/>
      <c r="BYE13" s="129"/>
      <c r="BYF13" s="129"/>
      <c r="BYG13" s="129"/>
      <c r="BYH13" s="129"/>
      <c r="BYI13" s="129"/>
      <c r="BYJ13" s="129"/>
      <c r="BYK13" s="129"/>
      <c r="BYL13" s="129"/>
      <c r="BYM13" s="129"/>
      <c r="BYN13" s="129"/>
      <c r="BYO13" s="129"/>
      <c r="BYP13" s="129"/>
      <c r="BYQ13" s="129"/>
      <c r="BYR13" s="129"/>
      <c r="BYS13" s="129"/>
      <c r="BYT13" s="129"/>
      <c r="BYU13" s="129"/>
      <c r="BYV13" s="129"/>
      <c r="BYW13" s="129"/>
      <c r="BYX13" s="129"/>
      <c r="BYY13" s="129"/>
      <c r="BYZ13" s="129"/>
      <c r="BZA13" s="129"/>
      <c r="BZB13" s="129"/>
      <c r="BZC13" s="129"/>
      <c r="BZD13" s="129"/>
      <c r="BZE13" s="129"/>
      <c r="BZF13" s="129"/>
      <c r="BZG13" s="129"/>
      <c r="BZH13" s="129"/>
      <c r="BZI13" s="129"/>
      <c r="BZJ13" s="129"/>
      <c r="BZK13" s="129"/>
      <c r="BZL13" s="129"/>
      <c r="BZM13" s="129"/>
      <c r="BZN13" s="129"/>
      <c r="BZO13" s="129"/>
      <c r="BZP13" s="129"/>
      <c r="BZQ13" s="129"/>
      <c r="BZR13" s="129"/>
      <c r="BZS13" s="129"/>
      <c r="BZT13" s="129"/>
      <c r="BZU13" s="129"/>
      <c r="BZV13" s="129"/>
      <c r="BZW13" s="129"/>
      <c r="BZX13" s="129"/>
      <c r="BZY13" s="129"/>
      <c r="BZZ13" s="129"/>
      <c r="CAA13" s="129"/>
      <c r="CAB13" s="129"/>
      <c r="CAC13" s="129"/>
      <c r="CAD13" s="129"/>
      <c r="CAE13" s="129"/>
      <c r="CAF13" s="129"/>
      <c r="CAG13" s="129"/>
      <c r="CAH13" s="129"/>
      <c r="CAI13" s="129"/>
      <c r="CAJ13" s="129"/>
      <c r="CAK13" s="129"/>
      <c r="CAL13" s="129"/>
      <c r="CAM13" s="129"/>
      <c r="CAN13" s="129"/>
      <c r="CAO13" s="129"/>
      <c r="CAP13" s="129"/>
      <c r="CAQ13" s="129"/>
      <c r="CAR13" s="129"/>
      <c r="CAS13" s="129"/>
      <c r="CAT13" s="129"/>
      <c r="CAU13" s="129"/>
      <c r="CAV13" s="129"/>
      <c r="CAW13" s="129"/>
      <c r="CAX13" s="129"/>
      <c r="CAY13" s="129"/>
      <c r="CAZ13" s="129"/>
      <c r="CBA13" s="129"/>
      <c r="CBB13" s="129"/>
      <c r="CBC13" s="129"/>
      <c r="CBD13" s="129"/>
      <c r="CBE13" s="129"/>
      <c r="CBF13" s="129"/>
      <c r="CBG13" s="129"/>
      <c r="CBH13" s="129"/>
      <c r="CBI13" s="129"/>
      <c r="CBJ13" s="129"/>
      <c r="CBK13" s="129"/>
      <c r="CBL13" s="129"/>
      <c r="CBM13" s="129"/>
      <c r="CBN13" s="129"/>
      <c r="CBO13" s="129"/>
      <c r="CBP13" s="129"/>
      <c r="CBQ13" s="129"/>
      <c r="CBR13" s="129"/>
      <c r="CBS13" s="129"/>
      <c r="CBT13" s="129"/>
      <c r="CBU13" s="129"/>
      <c r="CBV13" s="129"/>
      <c r="CBW13" s="129"/>
      <c r="CBX13" s="129"/>
      <c r="CBY13" s="129"/>
      <c r="CBZ13" s="129"/>
      <c r="CCA13" s="129"/>
      <c r="CCB13" s="129"/>
      <c r="CCC13" s="129"/>
      <c r="CCD13" s="129"/>
      <c r="CCE13" s="129"/>
      <c r="CCF13" s="129"/>
      <c r="CCG13" s="129"/>
      <c r="CCH13" s="129"/>
      <c r="CCI13" s="129"/>
      <c r="CCJ13" s="129"/>
      <c r="CCK13" s="129"/>
      <c r="CCL13" s="129"/>
      <c r="CCM13" s="129"/>
      <c r="CCN13" s="129"/>
      <c r="CCO13" s="129"/>
      <c r="CCP13" s="129"/>
      <c r="CCQ13" s="129"/>
      <c r="CCR13" s="129"/>
      <c r="CCS13" s="129"/>
      <c r="CCT13" s="129"/>
      <c r="CCU13" s="129"/>
      <c r="CCV13" s="129"/>
      <c r="CCW13" s="129"/>
      <c r="CCX13" s="129"/>
      <c r="CCY13" s="129"/>
      <c r="CCZ13" s="129"/>
      <c r="CDA13" s="129"/>
      <c r="CDB13" s="129"/>
      <c r="CDC13" s="129"/>
      <c r="CDD13" s="129"/>
      <c r="CDE13" s="129"/>
      <c r="CDF13" s="129"/>
      <c r="CDG13" s="129"/>
      <c r="CDH13" s="129"/>
      <c r="CDI13" s="129"/>
      <c r="CDJ13" s="129"/>
      <c r="CDK13" s="129"/>
      <c r="CDL13" s="129"/>
      <c r="CDM13" s="129"/>
      <c r="CDN13" s="129"/>
      <c r="CDO13" s="129"/>
      <c r="CDP13" s="129"/>
      <c r="CDQ13" s="129"/>
      <c r="CDR13" s="129"/>
      <c r="CDS13" s="129"/>
      <c r="CDT13" s="129"/>
      <c r="CDU13" s="129"/>
      <c r="CDV13" s="129"/>
      <c r="CDW13" s="129"/>
      <c r="CDX13" s="129"/>
      <c r="CDY13" s="129"/>
      <c r="CDZ13" s="129"/>
      <c r="CEA13" s="129"/>
      <c r="CEB13" s="129"/>
      <c r="CEC13" s="129"/>
      <c r="CED13" s="129"/>
      <c r="CEE13" s="129"/>
      <c r="CEF13" s="129"/>
      <c r="CEG13" s="129"/>
      <c r="CEH13" s="129"/>
      <c r="CEI13" s="129"/>
      <c r="CEJ13" s="129"/>
      <c r="CEK13" s="129"/>
      <c r="CEL13" s="129"/>
      <c r="CEM13" s="129"/>
      <c r="CEN13" s="129"/>
      <c r="CEO13" s="129"/>
      <c r="CEP13" s="129"/>
      <c r="CEQ13" s="129"/>
      <c r="CER13" s="129"/>
      <c r="CES13" s="129"/>
      <c r="CET13" s="129"/>
      <c r="CEU13" s="129"/>
      <c r="CEV13" s="129"/>
      <c r="CEW13" s="129"/>
      <c r="CEX13" s="129"/>
      <c r="CEY13" s="129"/>
      <c r="CEZ13" s="129"/>
      <c r="CFA13" s="129"/>
      <c r="CFB13" s="129"/>
      <c r="CFC13" s="129"/>
      <c r="CFD13" s="129"/>
      <c r="CFE13" s="129"/>
      <c r="CFF13" s="129"/>
      <c r="CFG13" s="129"/>
      <c r="CFH13" s="129"/>
      <c r="CFI13" s="129"/>
      <c r="CFJ13" s="129"/>
      <c r="CFK13" s="129"/>
      <c r="CFL13" s="129"/>
      <c r="CFM13" s="129"/>
      <c r="CFN13" s="129"/>
      <c r="CFO13" s="129"/>
      <c r="CFP13" s="129"/>
      <c r="CFQ13" s="129"/>
      <c r="CFR13" s="129"/>
      <c r="CFS13" s="129"/>
      <c r="CFT13" s="129"/>
      <c r="CFU13" s="129"/>
      <c r="CFV13" s="129"/>
      <c r="CFW13" s="129"/>
      <c r="CFX13" s="129"/>
      <c r="CFY13" s="129"/>
      <c r="CFZ13" s="129"/>
      <c r="CGA13" s="129"/>
      <c r="CGB13" s="129"/>
      <c r="CGC13" s="129"/>
      <c r="CGD13" s="129"/>
      <c r="CGE13" s="129"/>
      <c r="CGF13" s="129"/>
      <c r="CGG13" s="129"/>
      <c r="CGH13" s="129"/>
      <c r="CGI13" s="129"/>
      <c r="CGJ13" s="129"/>
      <c r="CGK13" s="129"/>
      <c r="CGL13" s="129"/>
      <c r="CGM13" s="129"/>
      <c r="CGN13" s="129"/>
      <c r="CGO13" s="129"/>
      <c r="CGP13" s="129"/>
      <c r="CGQ13" s="129"/>
      <c r="CGR13" s="129"/>
      <c r="CGS13" s="129"/>
      <c r="CGT13" s="129"/>
      <c r="CGU13" s="129"/>
      <c r="CGV13" s="129"/>
      <c r="CGW13" s="129"/>
      <c r="CGX13" s="129"/>
      <c r="CGY13" s="129"/>
      <c r="CGZ13" s="129"/>
      <c r="CHA13" s="129"/>
      <c r="CHB13" s="129"/>
      <c r="CHC13" s="129"/>
      <c r="CHD13" s="129"/>
      <c r="CHE13" s="129"/>
      <c r="CHF13" s="129"/>
      <c r="CHG13" s="129"/>
      <c r="CHH13" s="129"/>
      <c r="CHI13" s="129"/>
      <c r="CHJ13" s="129"/>
      <c r="CHK13" s="129"/>
      <c r="CHL13" s="129"/>
      <c r="CHM13" s="129"/>
      <c r="CHN13" s="129"/>
      <c r="CHO13" s="129"/>
      <c r="CHP13" s="129"/>
      <c r="CHQ13" s="129"/>
      <c r="CHR13" s="129"/>
      <c r="CHS13" s="129"/>
      <c r="CHT13" s="129"/>
      <c r="CHU13" s="129"/>
      <c r="CHV13" s="129"/>
      <c r="CHW13" s="129"/>
      <c r="CHX13" s="129"/>
      <c r="CHY13" s="129"/>
      <c r="CHZ13" s="129"/>
      <c r="CIA13" s="129"/>
      <c r="CIB13" s="129"/>
      <c r="CIC13" s="129"/>
      <c r="CID13" s="129"/>
      <c r="CIE13" s="129"/>
      <c r="CIF13" s="129"/>
      <c r="CIG13" s="129"/>
      <c r="CIH13" s="129"/>
      <c r="CII13" s="129"/>
      <c r="CIJ13" s="129"/>
      <c r="CIK13" s="129"/>
      <c r="CIL13" s="129"/>
      <c r="CIM13" s="129"/>
      <c r="CIN13" s="129"/>
      <c r="CIO13" s="129"/>
      <c r="CIP13" s="129"/>
      <c r="CIQ13" s="129"/>
      <c r="CIR13" s="129"/>
      <c r="CIS13" s="129"/>
      <c r="CIT13" s="129"/>
      <c r="CIU13" s="129"/>
      <c r="CIV13" s="129"/>
      <c r="CIW13" s="129"/>
      <c r="CIX13" s="129"/>
      <c r="CIY13" s="129"/>
      <c r="CIZ13" s="129"/>
      <c r="CJA13" s="129"/>
      <c r="CJB13" s="129"/>
      <c r="CJC13" s="129"/>
      <c r="CJD13" s="129"/>
      <c r="CJE13" s="129"/>
      <c r="CJF13" s="129"/>
      <c r="CJG13" s="129"/>
      <c r="CJH13" s="129"/>
      <c r="CJI13" s="129"/>
      <c r="CJJ13" s="129"/>
      <c r="CJK13" s="129"/>
      <c r="CJL13" s="129"/>
      <c r="CJM13" s="129"/>
      <c r="CJN13" s="129"/>
      <c r="CJO13" s="129"/>
      <c r="CJP13" s="129"/>
      <c r="CJQ13" s="129"/>
      <c r="CJR13" s="129"/>
      <c r="CJS13" s="129"/>
      <c r="CJT13" s="129"/>
      <c r="CJU13" s="129"/>
      <c r="CJV13" s="129"/>
      <c r="CJW13" s="129"/>
      <c r="CJX13" s="129"/>
      <c r="CJY13" s="129"/>
      <c r="CJZ13" s="129"/>
      <c r="CKA13" s="129"/>
      <c r="CKB13" s="129"/>
      <c r="CKC13" s="129"/>
      <c r="CKD13" s="129"/>
      <c r="CKE13" s="129"/>
      <c r="CKF13" s="129"/>
      <c r="CKG13" s="129"/>
      <c r="CKH13" s="129"/>
      <c r="CKI13" s="129"/>
      <c r="CKJ13" s="129"/>
      <c r="CKK13" s="129"/>
      <c r="CKL13" s="129"/>
      <c r="CKM13" s="129"/>
      <c r="CKN13" s="129"/>
      <c r="CKO13" s="129"/>
      <c r="CKP13" s="129"/>
      <c r="CKQ13" s="129"/>
      <c r="CKR13" s="129"/>
      <c r="CKS13" s="129"/>
      <c r="CKT13" s="129"/>
      <c r="CKU13" s="129"/>
      <c r="CKV13" s="129"/>
      <c r="CKW13" s="129"/>
      <c r="CKX13" s="129"/>
      <c r="CKY13" s="129"/>
      <c r="CKZ13" s="129"/>
      <c r="CLA13" s="129"/>
      <c r="CLB13" s="129"/>
      <c r="CLC13" s="129"/>
      <c r="CLD13" s="129"/>
      <c r="CLE13" s="129"/>
      <c r="CLF13" s="129"/>
      <c r="CLG13" s="129"/>
      <c r="CLH13" s="129"/>
      <c r="CLI13" s="129"/>
      <c r="CLJ13" s="129"/>
      <c r="CLK13" s="129"/>
      <c r="CLL13" s="129"/>
      <c r="CLM13" s="129"/>
      <c r="CLN13" s="129"/>
      <c r="CLO13" s="129"/>
      <c r="CLP13" s="129"/>
      <c r="CLQ13" s="129"/>
      <c r="CLR13" s="129"/>
      <c r="CLS13" s="129"/>
      <c r="CLT13" s="129"/>
      <c r="CLU13" s="129"/>
      <c r="CLV13" s="129"/>
      <c r="CLW13" s="129"/>
      <c r="CLX13" s="129"/>
      <c r="CLY13" s="129"/>
      <c r="CLZ13" s="129"/>
      <c r="CMA13" s="129"/>
      <c r="CMB13" s="129"/>
      <c r="CMC13" s="129"/>
      <c r="CMD13" s="129"/>
      <c r="CME13" s="129"/>
      <c r="CMF13" s="129"/>
      <c r="CMG13" s="129"/>
      <c r="CMH13" s="129"/>
      <c r="CMI13" s="129"/>
      <c r="CMJ13" s="129"/>
      <c r="CMK13" s="129"/>
      <c r="CML13" s="129"/>
      <c r="CMM13" s="129"/>
      <c r="CMN13" s="129"/>
      <c r="CMO13" s="129"/>
      <c r="CMP13" s="129"/>
      <c r="CMQ13" s="129"/>
      <c r="CMR13" s="129"/>
      <c r="CMS13" s="129"/>
      <c r="CMT13" s="129"/>
      <c r="CMU13" s="129"/>
      <c r="CMV13" s="129"/>
      <c r="CMW13" s="129"/>
      <c r="CMX13" s="129"/>
      <c r="CMY13" s="129"/>
      <c r="CMZ13" s="129"/>
      <c r="CNA13" s="129"/>
      <c r="CNB13" s="129"/>
      <c r="CNC13" s="129"/>
      <c r="CND13" s="129"/>
      <c r="CNE13" s="129"/>
      <c r="CNF13" s="129"/>
      <c r="CNG13" s="129"/>
      <c r="CNH13" s="129"/>
      <c r="CNI13" s="129"/>
      <c r="CNJ13" s="129"/>
      <c r="CNK13" s="129"/>
      <c r="CNL13" s="129"/>
      <c r="CNM13" s="129"/>
      <c r="CNN13" s="129"/>
      <c r="CNO13" s="129"/>
      <c r="CNP13" s="129"/>
      <c r="CNQ13" s="129"/>
      <c r="CNR13" s="129"/>
      <c r="CNS13" s="129"/>
      <c r="CNT13" s="129"/>
      <c r="CNU13" s="129"/>
      <c r="CNV13" s="129"/>
      <c r="CNW13" s="129"/>
      <c r="CNX13" s="129"/>
      <c r="CNY13" s="129"/>
      <c r="CNZ13" s="129"/>
      <c r="COA13" s="129"/>
      <c r="COB13" s="129"/>
      <c r="COC13" s="129"/>
      <c r="COD13" s="129"/>
      <c r="COE13" s="129"/>
      <c r="COF13" s="129"/>
      <c r="COG13" s="129"/>
      <c r="COH13" s="129"/>
      <c r="COI13" s="129"/>
      <c r="COJ13" s="129"/>
      <c r="COK13" s="129"/>
      <c r="COL13" s="129"/>
      <c r="COM13" s="129"/>
      <c r="CON13" s="129"/>
      <c r="COO13" s="129"/>
      <c r="COP13" s="129"/>
      <c r="COQ13" s="129"/>
      <c r="COR13" s="129"/>
      <c r="COS13" s="129"/>
      <c r="COT13" s="129"/>
      <c r="COU13" s="129"/>
      <c r="COV13" s="129"/>
      <c r="COW13" s="129"/>
      <c r="COX13" s="129"/>
      <c r="COY13" s="129"/>
      <c r="COZ13" s="129"/>
      <c r="CPA13" s="129"/>
      <c r="CPB13" s="129"/>
      <c r="CPC13" s="129"/>
      <c r="CPD13" s="129"/>
      <c r="CPE13" s="129"/>
      <c r="CPF13" s="129"/>
      <c r="CPG13" s="129"/>
      <c r="CPH13" s="129"/>
      <c r="CPI13" s="129"/>
      <c r="CPJ13" s="129"/>
      <c r="CPK13" s="129"/>
      <c r="CPL13" s="129"/>
      <c r="CPM13" s="129"/>
      <c r="CPN13" s="129"/>
      <c r="CPO13" s="129"/>
      <c r="CPP13" s="129"/>
      <c r="CPQ13" s="129"/>
      <c r="CPR13" s="129"/>
      <c r="CPS13" s="129"/>
      <c r="CPT13" s="129"/>
      <c r="CPU13" s="129"/>
      <c r="CPV13" s="129"/>
      <c r="CPW13" s="129"/>
      <c r="CPX13" s="129"/>
      <c r="CPY13" s="129"/>
      <c r="CPZ13" s="129"/>
      <c r="CQA13" s="129"/>
      <c r="CQB13" s="129"/>
      <c r="CQC13" s="129"/>
      <c r="CQD13" s="129"/>
      <c r="CQE13" s="129"/>
      <c r="CQF13" s="129"/>
      <c r="CQG13" s="129"/>
      <c r="CQH13" s="129"/>
      <c r="CQI13" s="129"/>
      <c r="CQJ13" s="129"/>
      <c r="CQK13" s="129"/>
      <c r="CQL13" s="129"/>
      <c r="CQM13" s="129"/>
      <c r="CQN13" s="129"/>
      <c r="CQO13" s="129"/>
      <c r="CQP13" s="129"/>
      <c r="CQQ13" s="129"/>
      <c r="CQR13" s="129"/>
      <c r="CQS13" s="129"/>
      <c r="CQT13" s="129"/>
      <c r="CQU13" s="129"/>
      <c r="CQV13" s="129"/>
      <c r="CQW13" s="129"/>
      <c r="CQX13" s="129"/>
      <c r="CQY13" s="129"/>
      <c r="CQZ13" s="129"/>
      <c r="CRA13" s="129"/>
      <c r="CRB13" s="129"/>
      <c r="CRC13" s="129"/>
      <c r="CRD13" s="129"/>
      <c r="CRE13" s="129"/>
      <c r="CRF13" s="129"/>
      <c r="CRG13" s="129"/>
      <c r="CRH13" s="129"/>
      <c r="CRI13" s="129"/>
      <c r="CRJ13" s="129"/>
      <c r="CRK13" s="129"/>
      <c r="CRL13" s="129"/>
      <c r="CRM13" s="129"/>
      <c r="CRN13" s="129"/>
      <c r="CRO13" s="129"/>
      <c r="CRP13" s="129"/>
      <c r="CRQ13" s="129"/>
      <c r="CRR13" s="129"/>
      <c r="CRS13" s="129"/>
      <c r="CRT13" s="129"/>
      <c r="CRU13" s="129"/>
      <c r="CRV13" s="129"/>
      <c r="CRW13" s="129"/>
      <c r="CRX13" s="129"/>
      <c r="CRY13" s="129"/>
      <c r="CRZ13" s="129"/>
      <c r="CSA13" s="129"/>
      <c r="CSB13" s="129"/>
      <c r="CSC13" s="129"/>
      <c r="CSD13" s="129"/>
      <c r="CSE13" s="129"/>
      <c r="CSF13" s="129"/>
      <c r="CSG13" s="129"/>
      <c r="CSH13" s="129"/>
      <c r="CSI13" s="129"/>
      <c r="CSJ13" s="129"/>
      <c r="CSK13" s="129"/>
      <c r="CSL13" s="129"/>
      <c r="CSM13" s="129"/>
      <c r="CSN13" s="129"/>
      <c r="CSO13" s="129"/>
      <c r="CSP13" s="129"/>
      <c r="CSQ13" s="129"/>
      <c r="CSR13" s="129"/>
      <c r="CSS13" s="129"/>
      <c r="CST13" s="129"/>
      <c r="CSU13" s="129"/>
      <c r="CSV13" s="129"/>
      <c r="CSW13" s="129"/>
      <c r="CSX13" s="129"/>
      <c r="CSY13" s="129"/>
      <c r="CSZ13" s="129"/>
      <c r="CTA13" s="129"/>
      <c r="CTB13" s="129"/>
      <c r="CTC13" s="129"/>
      <c r="CTD13" s="129"/>
      <c r="CTE13" s="129"/>
      <c r="CTF13" s="129"/>
      <c r="CTG13" s="129"/>
      <c r="CTH13" s="129"/>
      <c r="CTI13" s="129"/>
      <c r="CTJ13" s="129"/>
      <c r="CTK13" s="129"/>
      <c r="CTL13" s="129"/>
      <c r="CTM13" s="129"/>
      <c r="CTN13" s="129"/>
      <c r="CTO13" s="129"/>
      <c r="CTP13" s="129"/>
      <c r="CTQ13" s="129"/>
      <c r="CTR13" s="129"/>
      <c r="CTS13" s="129"/>
      <c r="CTT13" s="129"/>
      <c r="CTU13" s="129"/>
      <c r="CTV13" s="129"/>
      <c r="CTW13" s="129"/>
    </row>
    <row r="14" spans="1:2572" s="131" customFormat="1" ht="5.25" customHeight="1">
      <c r="A14" s="41"/>
      <c r="C14" s="19"/>
      <c r="D14" s="41"/>
      <c r="E14" s="20"/>
      <c r="F14" s="19"/>
      <c r="G14"/>
      <c r="H14" s="19"/>
      <c r="I14" s="19"/>
      <c r="J14" s="41"/>
      <c r="K14" s="20"/>
      <c r="L14" s="21"/>
      <c r="M14" s="20"/>
      <c r="N14" s="19"/>
      <c r="O14" s="19"/>
      <c r="P14" s="19"/>
      <c r="Q14" s="41"/>
      <c r="R14" s="42"/>
      <c r="S14" s="20"/>
      <c r="T14" s="41"/>
      <c r="U14" s="20"/>
      <c r="V14" s="41"/>
      <c r="W14" s="42"/>
      <c r="X14" s="19"/>
      <c r="AD14" s="43"/>
      <c r="AG14" s="94"/>
      <c r="AK14" s="43"/>
      <c r="AL14" s="426"/>
      <c r="AR14" s="43"/>
      <c r="AY14" s="43"/>
      <c r="BF14" s="43"/>
      <c r="BM14" s="43"/>
      <c r="BT14" s="43"/>
    </row>
    <row r="15" spans="1:2572" s="161" customFormat="1">
      <c r="A15" s="422"/>
      <c r="B15" s="414">
        <v>1</v>
      </c>
      <c r="C15" s="145">
        <v>1</v>
      </c>
      <c r="D15" s="146">
        <v>-1</v>
      </c>
      <c r="E15" s="147" t="s">
        <v>50</v>
      </c>
      <c r="F15" s="148" t="s">
        <v>70</v>
      </c>
      <c r="G15" s="149"/>
      <c r="H15" s="341"/>
      <c r="I15" s="148"/>
      <c r="J15" s="151"/>
      <c r="K15" s="152">
        <v>46190</v>
      </c>
      <c r="L15" s="256"/>
      <c r="M15" s="257"/>
      <c r="N15" s="153"/>
      <c r="O15" s="150"/>
      <c r="P15" s="154" t="s">
        <v>49</v>
      </c>
      <c r="Q15" s="155"/>
      <c r="R15" s="156">
        <v>48</v>
      </c>
      <c r="S15" s="157">
        <v>46190</v>
      </c>
      <c r="T15" s="340">
        <v>46237</v>
      </c>
      <c r="U15" s="158"/>
      <c r="V15" s="158"/>
      <c r="W15" s="159">
        <v>0.23809523809523808</v>
      </c>
      <c r="X15" s="160"/>
      <c r="Y15" s="160"/>
      <c r="Z15" s="401"/>
      <c r="AA15" s="401"/>
      <c r="AB15" s="401"/>
      <c r="AC15" s="401"/>
      <c r="AD15" s="402"/>
      <c r="AE15" s="401"/>
      <c r="AF15" s="401"/>
      <c r="AG15" s="403"/>
      <c r="AH15" s="401"/>
      <c r="AI15" s="401"/>
      <c r="AJ15" s="401"/>
      <c r="AK15" s="168"/>
      <c r="AL15" s="437"/>
      <c r="AM15" s="149"/>
      <c r="AN15" s="149"/>
      <c r="AO15" s="149"/>
      <c r="AP15" s="149"/>
      <c r="AQ15" s="149"/>
      <c r="AR15" s="168"/>
      <c r="AS15" s="149"/>
      <c r="AT15" s="149"/>
      <c r="AU15" s="149"/>
      <c r="AV15" s="149"/>
      <c r="AW15" s="149"/>
      <c r="AX15" s="149"/>
      <c r="AY15" s="168"/>
      <c r="AZ15" s="149"/>
      <c r="BA15" s="149"/>
      <c r="BB15" s="149"/>
      <c r="BC15" s="149"/>
      <c r="BD15" s="149"/>
      <c r="BE15" s="149"/>
      <c r="BF15" s="168"/>
      <c r="BG15" s="149"/>
      <c r="BH15" s="149"/>
      <c r="BI15" s="149"/>
      <c r="BJ15" s="149"/>
      <c r="BK15" s="149"/>
      <c r="BL15" s="149"/>
      <c r="BM15" s="168"/>
      <c r="BN15" s="149"/>
      <c r="BO15" s="149"/>
      <c r="BP15" s="149"/>
      <c r="BQ15" s="149"/>
      <c r="BR15" s="149"/>
      <c r="BS15" s="149"/>
      <c r="BT15" s="168"/>
      <c r="BU15" s="149"/>
    </row>
    <row r="16" spans="1:2572" s="139" customFormat="1">
      <c r="A16" s="423"/>
      <c r="B16" s="415">
        <v>2</v>
      </c>
      <c r="C16" s="69">
        <v>1</v>
      </c>
      <c r="D16" s="70">
        <v>1</v>
      </c>
      <c r="E16" s="71" t="s">
        <v>48</v>
      </c>
      <c r="F16" s="66" t="s">
        <v>71</v>
      </c>
      <c r="G16" s="170"/>
      <c r="H16" s="342" t="s">
        <v>35</v>
      </c>
      <c r="I16" s="73" t="s">
        <v>87</v>
      </c>
      <c r="J16" s="74"/>
      <c r="K16" s="75">
        <v>46190</v>
      </c>
      <c r="L16" s="258"/>
      <c r="M16" s="259"/>
      <c r="N16" s="76"/>
      <c r="O16" s="72"/>
      <c r="P16" s="88" t="s">
        <v>49</v>
      </c>
      <c r="Q16" s="71"/>
      <c r="R16" s="77">
        <v>3</v>
      </c>
      <c r="S16" s="78">
        <v>46190</v>
      </c>
      <c r="T16" s="79">
        <v>46192</v>
      </c>
      <c r="U16" s="80"/>
      <c r="V16" s="80"/>
      <c r="W16" s="81">
        <v>1</v>
      </c>
      <c r="X16" s="67"/>
      <c r="Y16" s="67"/>
      <c r="Z16" s="404"/>
      <c r="AA16" s="404"/>
      <c r="AB16" s="404"/>
      <c r="AC16" s="67"/>
      <c r="AD16" s="68"/>
      <c r="AE16" s="67"/>
      <c r="AF16" s="67"/>
      <c r="AG16" s="276"/>
      <c r="AH16" s="67"/>
      <c r="AI16" s="67"/>
      <c r="AJ16" s="67"/>
      <c r="AK16" s="68"/>
      <c r="AL16" s="427"/>
      <c r="AM16" s="67"/>
      <c r="AN16" s="67"/>
      <c r="AO16" s="67"/>
      <c r="AP16" s="67"/>
      <c r="AQ16" s="67"/>
      <c r="AR16" s="68"/>
      <c r="AS16" s="67"/>
      <c r="AT16" s="67"/>
      <c r="AU16" s="67"/>
      <c r="AV16" s="67"/>
      <c r="AW16" s="67"/>
      <c r="AX16" s="67"/>
      <c r="AY16" s="68"/>
      <c r="AZ16" s="67"/>
      <c r="BA16" s="67"/>
      <c r="BB16" s="67"/>
      <c r="BC16" s="67"/>
      <c r="BD16" s="67"/>
      <c r="BE16" s="67"/>
      <c r="BF16" s="68"/>
      <c r="BG16" s="67"/>
      <c r="BH16" s="67"/>
      <c r="BI16" s="67"/>
      <c r="BJ16" s="67"/>
      <c r="BK16" s="67"/>
      <c r="BL16" s="67"/>
      <c r="BM16" s="68"/>
      <c r="BN16" s="67"/>
      <c r="BO16" s="67"/>
      <c r="BP16" s="67"/>
      <c r="BQ16" s="67"/>
      <c r="BR16" s="67"/>
      <c r="BS16" s="67"/>
      <c r="BT16" s="68"/>
      <c r="BU16" s="67"/>
    </row>
    <row r="17" spans="1:181" s="138" customFormat="1">
      <c r="A17" s="423"/>
      <c r="B17" s="415">
        <v>3</v>
      </c>
      <c r="C17" s="48">
        <v>1</v>
      </c>
      <c r="D17" s="49">
        <v>3</v>
      </c>
      <c r="E17" s="50" t="s">
        <v>48</v>
      </c>
      <c r="F17" s="51" t="s">
        <v>72</v>
      </c>
      <c r="G17" s="89"/>
      <c r="H17" s="343" t="s">
        <v>83</v>
      </c>
      <c r="I17" s="53" t="s">
        <v>89</v>
      </c>
      <c r="J17" s="54"/>
      <c r="K17" s="55">
        <v>46190</v>
      </c>
      <c r="L17" s="260"/>
      <c r="M17" s="261"/>
      <c r="N17" s="56"/>
      <c r="O17" s="52"/>
      <c r="P17" s="99" t="s">
        <v>49</v>
      </c>
      <c r="Q17" s="50"/>
      <c r="R17" s="57">
        <v>3</v>
      </c>
      <c r="S17" s="58">
        <v>46190</v>
      </c>
      <c r="T17" s="59">
        <v>46192</v>
      </c>
      <c r="U17" s="60"/>
      <c r="V17" s="60"/>
      <c r="W17" s="64">
        <v>1</v>
      </c>
      <c r="X17" s="46"/>
      <c r="Y17" s="46"/>
      <c r="Z17" s="405"/>
      <c r="AA17" s="405"/>
      <c r="AB17" s="405"/>
      <c r="AC17" s="46"/>
      <c r="AD17" s="47"/>
      <c r="AE17" s="46"/>
      <c r="AF17" s="46"/>
      <c r="AG17" s="95"/>
      <c r="AH17" s="46"/>
      <c r="AI17" s="46"/>
      <c r="AJ17" s="46"/>
      <c r="AK17" s="47"/>
      <c r="AL17" s="428"/>
      <c r="AM17" s="46"/>
      <c r="AN17" s="46"/>
      <c r="AO17" s="46"/>
      <c r="AP17" s="46"/>
      <c r="AQ17" s="46"/>
      <c r="AR17" s="47"/>
      <c r="AS17" s="46"/>
      <c r="AT17" s="46"/>
      <c r="AU17" s="46"/>
      <c r="AV17" s="46"/>
      <c r="AW17" s="46"/>
      <c r="AX17" s="46"/>
      <c r="AY17" s="47"/>
      <c r="AZ17" s="46"/>
      <c r="BA17" s="46"/>
      <c r="BB17" s="46"/>
      <c r="BC17" s="46"/>
      <c r="BD17" s="46"/>
      <c r="BE17" s="46"/>
      <c r="BF17" s="47"/>
      <c r="BG17" s="46"/>
      <c r="BH17" s="46"/>
      <c r="BI17" s="46"/>
      <c r="BJ17" s="46"/>
      <c r="BK17" s="46"/>
      <c r="BL17" s="46"/>
      <c r="BM17" s="47"/>
      <c r="BN17" s="46"/>
      <c r="BO17" s="46"/>
      <c r="BP17" s="46"/>
      <c r="BQ17" s="46"/>
      <c r="BR17" s="46"/>
      <c r="BS17" s="46"/>
      <c r="BT17" s="47"/>
      <c r="BU17" s="46"/>
    </row>
    <row r="18" spans="1:181" s="138" customFormat="1">
      <c r="A18" s="423"/>
      <c r="B18" s="415">
        <v>4</v>
      </c>
      <c r="C18" s="48">
        <v>1</v>
      </c>
      <c r="D18" s="49">
        <v>3</v>
      </c>
      <c r="E18" s="50" t="s">
        <v>48</v>
      </c>
      <c r="F18" s="51" t="s">
        <v>73</v>
      </c>
      <c r="G18" s="89"/>
      <c r="H18" s="343" t="s">
        <v>86</v>
      </c>
      <c r="I18" s="53" t="s">
        <v>91</v>
      </c>
      <c r="J18" s="54"/>
      <c r="L18" s="55">
        <v>46193</v>
      </c>
      <c r="M18" s="261"/>
      <c r="N18" s="56"/>
      <c r="O18" s="52"/>
      <c r="P18" s="99" t="s">
        <v>49</v>
      </c>
      <c r="Q18" s="50"/>
      <c r="R18" s="57">
        <v>1</v>
      </c>
      <c r="S18" s="58">
        <v>46193</v>
      </c>
      <c r="T18" s="59">
        <v>46193</v>
      </c>
      <c r="U18" s="60"/>
      <c r="V18" s="60"/>
      <c r="W18" s="64">
        <v>1</v>
      </c>
      <c r="X18" s="46"/>
      <c r="Y18" s="46"/>
      <c r="Z18" s="46"/>
      <c r="AA18" s="46"/>
      <c r="AB18" s="46"/>
      <c r="AC18" s="405"/>
      <c r="AD18" s="47"/>
      <c r="AE18" s="46"/>
      <c r="AF18" s="46"/>
      <c r="AG18" s="95"/>
      <c r="AH18" s="46"/>
      <c r="AI18" s="46"/>
      <c r="AJ18" s="46"/>
      <c r="AK18" s="47"/>
      <c r="AL18" s="428"/>
      <c r="AM18" s="46"/>
      <c r="AN18" s="46"/>
      <c r="AO18" s="46"/>
      <c r="AP18" s="46"/>
      <c r="AQ18" s="46"/>
      <c r="AR18" s="47"/>
      <c r="AS18" s="46"/>
      <c r="AT18" s="46"/>
      <c r="AU18" s="46"/>
      <c r="AV18" s="46"/>
      <c r="AW18" s="46"/>
      <c r="AX18" s="46"/>
      <c r="AY18" s="47"/>
      <c r="AZ18" s="46"/>
      <c r="BA18" s="46"/>
      <c r="BB18" s="46"/>
      <c r="BC18" s="46"/>
      <c r="BD18" s="46"/>
      <c r="BE18" s="46"/>
      <c r="BF18" s="47"/>
      <c r="BG18" s="46"/>
      <c r="BH18" s="46"/>
      <c r="BI18" s="46"/>
      <c r="BJ18" s="46"/>
      <c r="BK18" s="46"/>
      <c r="BL18" s="46"/>
      <c r="BM18" s="47"/>
      <c r="BN18" s="46"/>
      <c r="BO18" s="46"/>
      <c r="BP18" s="46"/>
      <c r="BQ18" s="46"/>
      <c r="BR18" s="46"/>
      <c r="BS18" s="46"/>
      <c r="BT18" s="47"/>
      <c r="BU18" s="46"/>
    </row>
    <row r="19" spans="1:181" s="140" customFormat="1">
      <c r="A19" s="423"/>
      <c r="B19" s="415">
        <v>5</v>
      </c>
      <c r="C19" s="109">
        <v>1</v>
      </c>
      <c r="D19" s="110">
        <v>3</v>
      </c>
      <c r="E19" s="111" t="s">
        <v>48</v>
      </c>
      <c r="F19" s="113" t="s">
        <v>74</v>
      </c>
      <c r="G19" s="167"/>
      <c r="H19" s="344" t="s">
        <v>35</v>
      </c>
      <c r="I19" s="112" t="s">
        <v>87</v>
      </c>
      <c r="J19" s="121"/>
      <c r="K19" s="116">
        <v>46209</v>
      </c>
      <c r="L19" s="262"/>
      <c r="M19" s="263">
        <f>B18</f>
        <v>4</v>
      </c>
      <c r="N19" s="62" t="s">
        <v>45</v>
      </c>
      <c r="O19" s="114" t="s">
        <v>109</v>
      </c>
      <c r="P19" s="111" t="s">
        <v>49</v>
      </c>
      <c r="Q19" s="111"/>
      <c r="R19" s="117">
        <v>5</v>
      </c>
      <c r="S19" s="115">
        <v>46209</v>
      </c>
      <c r="T19" s="118">
        <v>46213</v>
      </c>
      <c r="U19" s="119"/>
      <c r="V19" s="119"/>
      <c r="W19" s="120">
        <v>0.3</v>
      </c>
      <c r="X19" s="107"/>
      <c r="Y19" s="107"/>
      <c r="Z19" s="107"/>
      <c r="AA19" s="107"/>
      <c r="AB19" s="107"/>
      <c r="AC19" s="107"/>
      <c r="AD19" s="108"/>
      <c r="AE19" s="107"/>
      <c r="AF19" s="107"/>
      <c r="AG19" s="122"/>
      <c r="AH19" s="107"/>
      <c r="AI19" s="107"/>
      <c r="AJ19" s="107"/>
      <c r="AK19" s="108"/>
      <c r="AL19" s="429"/>
      <c r="AM19" s="107"/>
      <c r="AN19" s="107"/>
      <c r="AO19" s="107"/>
      <c r="AP19" s="107"/>
      <c r="AQ19" s="107"/>
      <c r="AR19" s="108"/>
      <c r="AS19" s="406"/>
      <c r="AT19" s="167"/>
      <c r="AU19" s="167"/>
      <c r="AV19" s="167"/>
      <c r="AW19" s="167"/>
      <c r="AX19" s="107"/>
      <c r="AY19" s="108"/>
      <c r="AZ19" s="107"/>
      <c r="BA19" s="107"/>
      <c r="BB19" s="107"/>
      <c r="BC19" s="107"/>
      <c r="BD19" s="107"/>
      <c r="BE19" s="107"/>
      <c r="BF19" s="108"/>
      <c r="BG19" s="107"/>
      <c r="BH19" s="107"/>
      <c r="BI19" s="107"/>
      <c r="BJ19" s="107"/>
      <c r="BK19" s="107"/>
      <c r="BL19" s="107"/>
      <c r="BM19" s="108"/>
      <c r="BN19" s="107"/>
      <c r="BO19" s="107"/>
      <c r="BP19" s="107"/>
      <c r="BQ19" s="107"/>
      <c r="BR19" s="107"/>
      <c r="BS19" s="107"/>
      <c r="BT19" s="108"/>
      <c r="BU19" s="107"/>
    </row>
    <row r="20" spans="1:181" s="140" customFormat="1">
      <c r="A20" s="423"/>
      <c r="B20" s="415">
        <v>6</v>
      </c>
      <c r="C20" s="109">
        <v>1</v>
      </c>
      <c r="D20" s="110">
        <v>3</v>
      </c>
      <c r="E20" s="111" t="s">
        <v>48</v>
      </c>
      <c r="F20" s="113" t="s">
        <v>75</v>
      </c>
      <c r="G20" s="167"/>
      <c r="H20" s="344" t="s">
        <v>83</v>
      </c>
      <c r="I20" s="112" t="s">
        <v>89</v>
      </c>
      <c r="J20" s="121"/>
      <c r="K20" s="116">
        <v>46209</v>
      </c>
      <c r="L20" s="262"/>
      <c r="M20" s="263">
        <f>B19</f>
        <v>5</v>
      </c>
      <c r="N20" s="62" t="s">
        <v>45</v>
      </c>
      <c r="O20" s="114" t="s">
        <v>110</v>
      </c>
      <c r="P20" s="111" t="s">
        <v>49</v>
      </c>
      <c r="Q20" s="111"/>
      <c r="R20" s="117">
        <v>5</v>
      </c>
      <c r="S20" s="115">
        <v>46209</v>
      </c>
      <c r="T20" s="118">
        <v>46213</v>
      </c>
      <c r="U20" s="119"/>
      <c r="V20" s="119"/>
      <c r="W20" s="120">
        <v>0.3</v>
      </c>
      <c r="X20" s="107"/>
      <c r="Y20" s="107"/>
      <c r="Z20" s="107"/>
      <c r="AA20" s="107"/>
      <c r="AB20" s="107"/>
      <c r="AC20" s="107"/>
      <c r="AD20" s="108"/>
      <c r="AE20" s="107"/>
      <c r="AF20" s="107"/>
      <c r="AG20" s="122"/>
      <c r="AH20" s="107"/>
      <c r="AI20" s="107"/>
      <c r="AJ20" s="107"/>
      <c r="AK20" s="108"/>
      <c r="AL20" s="429"/>
      <c r="AM20" s="107"/>
      <c r="AN20" s="107"/>
      <c r="AO20" s="107"/>
      <c r="AP20" s="107"/>
      <c r="AQ20" s="107"/>
      <c r="AR20" s="108"/>
      <c r="AS20" s="406"/>
      <c r="AT20" s="167"/>
      <c r="AU20" s="167"/>
      <c r="AV20" s="167"/>
      <c r="AW20" s="167"/>
      <c r="AX20" s="107"/>
      <c r="AY20" s="108"/>
      <c r="AZ20" s="107"/>
      <c r="BA20" s="107"/>
      <c r="BB20" s="107"/>
      <c r="BC20" s="107"/>
      <c r="BD20" s="107"/>
      <c r="BE20" s="107"/>
      <c r="BF20" s="108"/>
      <c r="BG20" s="107"/>
      <c r="BH20" s="107"/>
      <c r="BI20" s="107"/>
      <c r="BJ20" s="107"/>
      <c r="BK20" s="107"/>
      <c r="BL20" s="107"/>
      <c r="BM20" s="108"/>
      <c r="BN20" s="107"/>
      <c r="BO20" s="107"/>
      <c r="BP20" s="107"/>
      <c r="BQ20" s="107"/>
      <c r="BR20" s="107"/>
      <c r="BS20" s="107"/>
      <c r="BT20" s="108"/>
      <c r="BU20" s="107"/>
    </row>
    <row r="21" spans="1:181" s="137" customFormat="1">
      <c r="A21" s="423"/>
      <c r="B21" s="415">
        <v>7</v>
      </c>
      <c r="C21" s="162">
        <v>1</v>
      </c>
      <c r="D21" s="100">
        <v>4</v>
      </c>
      <c r="E21" s="169" t="s">
        <v>48</v>
      </c>
      <c r="F21" s="143" t="s">
        <v>76</v>
      </c>
      <c r="G21" s="133"/>
      <c r="H21" s="345" t="s">
        <v>83</v>
      </c>
      <c r="I21" s="142" t="s">
        <v>88</v>
      </c>
      <c r="J21" s="106"/>
      <c r="K21" s="164">
        <v>46213</v>
      </c>
      <c r="L21" s="264"/>
      <c r="M21" s="265">
        <f>B20</f>
        <v>6</v>
      </c>
      <c r="N21" s="165" t="s">
        <v>45</v>
      </c>
      <c r="O21" s="163" t="s">
        <v>110</v>
      </c>
      <c r="P21" s="169" t="s">
        <v>49</v>
      </c>
      <c r="Q21" s="169"/>
      <c r="R21" s="117">
        <v>5</v>
      </c>
      <c r="S21" s="118">
        <v>46213</v>
      </c>
      <c r="T21" s="102">
        <v>46217</v>
      </c>
      <c r="U21" s="166"/>
      <c r="V21" s="166"/>
      <c r="W21" s="103">
        <v>0</v>
      </c>
      <c r="X21" s="132"/>
      <c r="Y21" s="132"/>
      <c r="Z21" s="132"/>
      <c r="AA21" s="132"/>
      <c r="AB21" s="132"/>
      <c r="AC21" s="132"/>
      <c r="AD21" s="105"/>
      <c r="AE21" s="132"/>
      <c r="AF21" s="132"/>
      <c r="AG21" s="104"/>
      <c r="AH21" s="132"/>
      <c r="AI21" s="132"/>
      <c r="AJ21" s="132"/>
      <c r="AK21" s="105"/>
      <c r="AL21" s="430"/>
      <c r="AM21" s="132"/>
      <c r="AN21" s="132"/>
      <c r="AO21" s="132"/>
      <c r="AP21" s="132"/>
      <c r="AQ21" s="132"/>
      <c r="AR21" s="105"/>
      <c r="AS21" s="132"/>
      <c r="AT21" s="132"/>
      <c r="AU21" s="132"/>
      <c r="AV21" s="132"/>
      <c r="AW21" s="133"/>
      <c r="AX21" s="133"/>
      <c r="AY21" s="275"/>
      <c r="AZ21" s="133"/>
      <c r="BA21" s="133"/>
      <c r="BB21" s="132"/>
      <c r="BC21" s="132"/>
      <c r="BD21" s="132"/>
      <c r="BE21" s="132"/>
      <c r="BF21" s="105"/>
      <c r="BG21" s="132"/>
      <c r="BH21" s="132"/>
      <c r="BI21" s="132"/>
      <c r="BJ21" s="132"/>
      <c r="BK21" s="132"/>
      <c r="BL21" s="132"/>
      <c r="BM21" s="105"/>
      <c r="BN21" s="132"/>
      <c r="BO21" s="132"/>
      <c r="BP21" s="132"/>
      <c r="BQ21" s="132"/>
      <c r="BR21" s="132"/>
      <c r="BS21" s="132"/>
      <c r="BT21" s="105"/>
      <c r="BU21" s="132"/>
    </row>
    <row r="22" spans="1:181" s="137" customFormat="1">
      <c r="A22" s="423"/>
      <c r="B22" s="415">
        <v>8</v>
      </c>
      <c r="C22" s="162">
        <v>1</v>
      </c>
      <c r="D22" s="100">
        <v>4</v>
      </c>
      <c r="E22" s="169" t="s">
        <v>48</v>
      </c>
      <c r="F22" s="143" t="s">
        <v>77</v>
      </c>
      <c r="G22" s="133"/>
      <c r="H22" s="345" t="s">
        <v>83</v>
      </c>
      <c r="I22" s="142" t="s">
        <v>88</v>
      </c>
      <c r="J22" s="106"/>
      <c r="K22" s="164">
        <v>46218</v>
      </c>
      <c r="L22" s="264"/>
      <c r="M22" s="265">
        <f>B21</f>
        <v>7</v>
      </c>
      <c r="N22" s="165" t="s">
        <v>45</v>
      </c>
      <c r="O22" s="163" t="s">
        <v>111</v>
      </c>
      <c r="P22" s="169" t="s">
        <v>49</v>
      </c>
      <c r="Q22" s="169"/>
      <c r="R22" s="101">
        <v>20</v>
      </c>
      <c r="S22" s="144">
        <v>46218</v>
      </c>
      <c r="T22" s="102">
        <v>46237</v>
      </c>
      <c r="U22" s="166"/>
      <c r="V22" s="166"/>
      <c r="W22" s="103">
        <v>0</v>
      </c>
      <c r="X22" s="132"/>
      <c r="Y22" s="132"/>
      <c r="Z22" s="132"/>
      <c r="AA22" s="132"/>
      <c r="AB22" s="132"/>
      <c r="AC22" s="132"/>
      <c r="AD22" s="105"/>
      <c r="AE22" s="132"/>
      <c r="AF22" s="132"/>
      <c r="AG22" s="104"/>
      <c r="AH22" s="132"/>
      <c r="AI22" s="132"/>
      <c r="AJ22" s="132"/>
      <c r="AK22" s="105"/>
      <c r="AL22" s="430"/>
      <c r="AM22" s="132"/>
      <c r="AN22" s="132"/>
      <c r="AO22" s="132"/>
      <c r="AP22" s="132"/>
      <c r="AQ22" s="132"/>
      <c r="AR22" s="105"/>
      <c r="AS22" s="132"/>
      <c r="AT22" s="132"/>
      <c r="AU22" s="132"/>
      <c r="AV22" s="132"/>
      <c r="AW22" s="132"/>
      <c r="AX22" s="132"/>
      <c r="AY22" s="105"/>
      <c r="AZ22" s="132"/>
      <c r="BA22" s="132"/>
      <c r="BB22" s="133"/>
      <c r="BC22" s="133"/>
      <c r="BD22" s="133"/>
      <c r="BE22" s="133"/>
      <c r="BF22" s="275"/>
      <c r="BG22" s="133"/>
      <c r="BH22" s="133"/>
      <c r="BI22" s="133"/>
      <c r="BJ22" s="133"/>
      <c r="BK22" s="133"/>
      <c r="BL22" s="133"/>
      <c r="BM22" s="275"/>
      <c r="BN22" s="133"/>
      <c r="BO22" s="133"/>
      <c r="BP22" s="133"/>
      <c r="BQ22" s="133"/>
      <c r="BR22" s="133"/>
      <c r="BS22" s="133"/>
      <c r="BT22" s="275"/>
      <c r="BU22" s="133"/>
    </row>
    <row r="23" spans="1:181" s="138" customFormat="1">
      <c r="A23" s="423"/>
      <c r="B23" s="415">
        <v>9</v>
      </c>
      <c r="C23" s="48">
        <v>1</v>
      </c>
      <c r="D23" s="49">
        <v>-1</v>
      </c>
      <c r="E23" s="50" t="s">
        <v>51</v>
      </c>
      <c r="F23" s="51" t="s">
        <v>78</v>
      </c>
      <c r="G23" s="89"/>
      <c r="H23" s="343"/>
      <c r="I23" s="53"/>
      <c r="J23" s="54"/>
      <c r="K23" s="55"/>
      <c r="L23" s="55">
        <v>46237</v>
      </c>
      <c r="M23" s="261">
        <f>B22</f>
        <v>8</v>
      </c>
      <c r="N23" s="56" t="s">
        <v>45</v>
      </c>
      <c r="O23" s="52" t="s">
        <v>108</v>
      </c>
      <c r="P23" s="50" t="s">
        <v>68</v>
      </c>
      <c r="Q23" s="50"/>
      <c r="R23" s="57"/>
      <c r="S23" s="102">
        <v>46237</v>
      </c>
      <c r="T23" s="102">
        <v>46237</v>
      </c>
      <c r="U23" s="60"/>
      <c r="V23" s="60"/>
      <c r="W23" s="64">
        <v>0.24</v>
      </c>
      <c r="X23" s="46"/>
      <c r="Y23" s="46"/>
      <c r="Z23" s="97"/>
      <c r="AA23" s="46"/>
      <c r="AB23" s="46"/>
      <c r="AC23" s="46"/>
      <c r="AD23" s="47"/>
      <c r="AE23" s="97"/>
      <c r="AF23" s="97"/>
      <c r="AG23" s="95"/>
      <c r="AH23" s="97"/>
      <c r="AI23" s="65"/>
      <c r="AJ23" s="97"/>
      <c r="AK23" s="98"/>
      <c r="AL23" s="439"/>
      <c r="AM23" s="46"/>
      <c r="AN23" s="65"/>
      <c r="AO23" s="46"/>
      <c r="AP23" s="46"/>
      <c r="AQ23" s="46"/>
      <c r="AR23" s="47"/>
      <c r="AS23" s="46"/>
      <c r="AT23" s="97"/>
      <c r="AU23" s="46"/>
      <c r="AV23" s="46"/>
      <c r="AW23" s="46"/>
      <c r="AX23" s="46"/>
      <c r="AY23" s="47"/>
      <c r="AZ23" s="46"/>
      <c r="BA23" s="46"/>
      <c r="BB23" s="46"/>
      <c r="BC23" s="46"/>
      <c r="BD23" s="46"/>
      <c r="BE23" s="46"/>
      <c r="BF23" s="47"/>
      <c r="BG23" s="46"/>
      <c r="BH23" s="46"/>
      <c r="BI23" s="65"/>
      <c r="BJ23" s="46"/>
      <c r="BK23" s="46"/>
      <c r="BL23" s="46"/>
      <c r="BM23" s="47"/>
      <c r="BN23" s="65"/>
      <c r="BO23" s="46"/>
      <c r="BP23" s="46"/>
      <c r="BQ23" s="46"/>
      <c r="BR23" s="46"/>
      <c r="BS23" s="65"/>
      <c r="BT23" s="339"/>
      <c r="BU23" s="136" t="s">
        <v>54</v>
      </c>
      <c r="BV23" s="328"/>
      <c r="BW23" s="328"/>
      <c r="BX23" s="328"/>
      <c r="BZ23" s="328"/>
      <c r="CC23" s="328"/>
      <c r="CE23" s="328"/>
      <c r="CH23" s="328"/>
      <c r="CM23" s="328"/>
      <c r="CR23" s="328"/>
      <c r="CW23" s="328"/>
      <c r="DB23" s="328"/>
      <c r="DG23" s="328"/>
      <c r="DL23" s="328"/>
      <c r="DQ23" s="328"/>
      <c r="DV23" s="328"/>
      <c r="EA23" s="328"/>
      <c r="EF23" s="328"/>
      <c r="EK23" s="328"/>
      <c r="EP23" s="328"/>
      <c r="EU23" s="328"/>
      <c r="EZ23" s="328"/>
      <c r="FE23" s="328"/>
      <c r="FJ23" s="328"/>
      <c r="FO23" s="328"/>
      <c r="FT23" s="328"/>
      <c r="FY23" s="328"/>
    </row>
    <row r="24" spans="1:181" s="253" customFormat="1">
      <c r="A24" s="422"/>
      <c r="B24" s="416">
        <v>10</v>
      </c>
      <c r="C24" s="234">
        <v>2</v>
      </c>
      <c r="D24" s="235">
        <v>-1</v>
      </c>
      <c r="E24" s="236" t="s">
        <v>50</v>
      </c>
      <c r="F24" s="237" t="s">
        <v>95</v>
      </c>
      <c r="G24" s="254"/>
      <c r="H24" s="346"/>
      <c r="I24" s="237"/>
      <c r="J24" s="240"/>
      <c r="K24" s="241">
        <v>46190</v>
      </c>
      <c r="L24" s="266"/>
      <c r="M24" s="267"/>
      <c r="N24" s="242"/>
      <c r="O24" s="239"/>
      <c r="P24" s="243" t="s">
        <v>49</v>
      </c>
      <c r="Q24" s="244"/>
      <c r="R24" s="245">
        <v>41</v>
      </c>
      <c r="S24" s="246">
        <v>46190</v>
      </c>
      <c r="T24" s="247">
        <v>46230</v>
      </c>
      <c r="U24" s="248"/>
      <c r="V24" s="248"/>
      <c r="W24" s="249">
        <v>0.33333333333333331</v>
      </c>
      <c r="X24" s="250"/>
      <c r="Y24" s="250"/>
      <c r="Z24" s="408"/>
      <c r="AA24" s="408"/>
      <c r="AB24" s="408"/>
      <c r="AC24" s="408"/>
      <c r="AD24" s="409"/>
      <c r="AE24" s="408"/>
      <c r="AF24" s="408"/>
      <c r="AG24" s="410"/>
      <c r="AH24" s="408"/>
      <c r="AI24" s="408"/>
      <c r="AJ24" s="408"/>
      <c r="AK24" s="409"/>
      <c r="AL24" s="431"/>
      <c r="AM24" s="254"/>
      <c r="AN24" s="254"/>
      <c r="AO24" s="254"/>
      <c r="AP24" s="254"/>
      <c r="AQ24" s="254"/>
      <c r="AR24" s="255"/>
      <c r="AS24" s="254"/>
      <c r="AT24" s="254"/>
      <c r="AU24" s="254"/>
      <c r="AV24" s="254"/>
      <c r="AW24" s="254"/>
      <c r="AX24" s="254"/>
      <c r="AY24" s="255"/>
      <c r="AZ24" s="254"/>
      <c r="BA24" s="254"/>
      <c r="BB24" s="254"/>
      <c r="BC24" s="254"/>
      <c r="BD24" s="254"/>
      <c r="BE24" s="254"/>
      <c r="BF24" s="255"/>
      <c r="BG24" s="254"/>
      <c r="BH24" s="254"/>
      <c r="BI24" s="254"/>
      <c r="BJ24" s="254"/>
      <c r="BK24" s="254"/>
      <c r="BL24" s="254"/>
      <c r="BM24" s="255"/>
      <c r="BN24" s="254"/>
      <c r="BO24" s="250"/>
      <c r="BP24" s="250"/>
      <c r="BQ24" s="250"/>
      <c r="BR24" s="250"/>
      <c r="BS24" s="250"/>
      <c r="BT24" s="251"/>
      <c r="BU24" s="250"/>
    </row>
    <row r="25" spans="1:181" s="192" customFormat="1">
      <c r="A25" s="423"/>
      <c r="B25" s="415">
        <v>11</v>
      </c>
      <c r="C25" s="173">
        <v>2</v>
      </c>
      <c r="D25" s="174">
        <v>5</v>
      </c>
      <c r="E25" s="175" t="s">
        <v>48</v>
      </c>
      <c r="F25" s="176" t="s">
        <v>96</v>
      </c>
      <c r="G25" s="177"/>
      <c r="H25" s="347" t="s">
        <v>35</v>
      </c>
      <c r="I25" s="179" t="s">
        <v>87</v>
      </c>
      <c r="J25" s="180"/>
      <c r="K25" s="181">
        <v>46190</v>
      </c>
      <c r="L25" s="268"/>
      <c r="M25" s="269"/>
      <c r="N25" s="182"/>
      <c r="O25" s="178"/>
      <c r="P25" s="183" t="s">
        <v>49</v>
      </c>
      <c r="Q25" s="175"/>
      <c r="R25" s="184">
        <v>3</v>
      </c>
      <c r="S25" s="185">
        <v>46190</v>
      </c>
      <c r="T25" s="186">
        <v>46192</v>
      </c>
      <c r="U25" s="187"/>
      <c r="V25" s="187"/>
      <c r="W25" s="188">
        <v>1</v>
      </c>
      <c r="X25" s="189"/>
      <c r="Y25" s="189"/>
      <c r="Z25" s="411"/>
      <c r="AA25" s="411"/>
      <c r="AB25" s="411"/>
      <c r="AC25" s="189"/>
      <c r="AD25" s="190"/>
      <c r="AE25" s="189"/>
      <c r="AF25" s="189"/>
      <c r="AG25" s="191"/>
      <c r="AH25" s="189"/>
      <c r="AI25" s="189"/>
      <c r="AJ25" s="189"/>
      <c r="AK25" s="190"/>
      <c r="AL25" s="432"/>
      <c r="AM25" s="189"/>
      <c r="AN25" s="189"/>
      <c r="AO25" s="189"/>
      <c r="AP25" s="189"/>
      <c r="AQ25" s="189"/>
      <c r="AR25" s="190"/>
      <c r="AS25" s="189"/>
      <c r="AT25" s="189"/>
      <c r="AU25" s="189"/>
      <c r="AV25" s="189"/>
      <c r="AW25" s="189"/>
      <c r="AX25" s="189"/>
      <c r="AY25" s="190"/>
      <c r="AZ25" s="189"/>
      <c r="BA25" s="189"/>
      <c r="BB25" s="189"/>
      <c r="BC25" s="189"/>
      <c r="BD25" s="189"/>
      <c r="BE25" s="189"/>
      <c r="BF25" s="190"/>
      <c r="BG25" s="189"/>
      <c r="BH25" s="189"/>
      <c r="BI25" s="189"/>
      <c r="BJ25" s="189"/>
      <c r="BK25" s="189"/>
      <c r="BL25" s="189"/>
      <c r="BM25" s="190"/>
      <c r="BN25" s="189"/>
      <c r="BO25" s="189"/>
      <c r="BP25" s="189"/>
      <c r="BQ25" s="189"/>
      <c r="BR25" s="189"/>
      <c r="BS25" s="189"/>
      <c r="BT25" s="190"/>
      <c r="BU25" s="189"/>
    </row>
    <row r="26" spans="1:181" s="137" customFormat="1">
      <c r="A26" s="423"/>
      <c r="B26" s="415">
        <v>12</v>
      </c>
      <c r="C26" s="162">
        <v>2</v>
      </c>
      <c r="D26" s="100">
        <v>5</v>
      </c>
      <c r="E26" s="169" t="s">
        <v>48</v>
      </c>
      <c r="F26" s="143" t="s">
        <v>97</v>
      </c>
      <c r="G26" s="172"/>
      <c r="H26" s="345" t="s">
        <v>86</v>
      </c>
      <c r="I26" s="142" t="s">
        <v>91</v>
      </c>
      <c r="J26" s="106"/>
      <c r="K26" s="164">
        <v>46193</v>
      </c>
      <c r="L26" s="264"/>
      <c r="M26" s="265"/>
      <c r="N26" s="165"/>
      <c r="O26" s="163"/>
      <c r="P26" s="171" t="s">
        <v>49</v>
      </c>
      <c r="Q26" s="169"/>
      <c r="R26" s="101">
        <v>1</v>
      </c>
      <c r="S26" s="144">
        <v>46193</v>
      </c>
      <c r="T26" s="102">
        <v>46193</v>
      </c>
      <c r="U26" s="166"/>
      <c r="V26" s="166"/>
      <c r="W26" s="103">
        <v>1</v>
      </c>
      <c r="X26" s="132"/>
      <c r="Y26" s="132"/>
      <c r="Z26" s="132"/>
      <c r="AA26" s="132"/>
      <c r="AB26" s="132"/>
      <c r="AC26" s="407"/>
      <c r="AD26" s="105"/>
      <c r="AE26" s="132"/>
      <c r="AF26" s="132"/>
      <c r="AG26" s="104"/>
      <c r="AH26" s="132"/>
      <c r="AI26" s="132"/>
      <c r="AJ26" s="132"/>
      <c r="AK26" s="105"/>
      <c r="AL26" s="430"/>
      <c r="AM26" s="132"/>
      <c r="AN26" s="132"/>
      <c r="AO26" s="132"/>
      <c r="AP26" s="132"/>
      <c r="AQ26" s="132"/>
      <c r="AR26" s="105"/>
      <c r="AS26" s="132"/>
      <c r="AT26" s="132"/>
      <c r="AU26" s="132"/>
      <c r="AV26" s="132"/>
      <c r="AW26" s="132"/>
      <c r="AX26" s="132"/>
      <c r="AY26" s="105"/>
      <c r="AZ26" s="132"/>
      <c r="BA26" s="132"/>
      <c r="BB26" s="132"/>
      <c r="BC26" s="132"/>
      <c r="BD26" s="132"/>
      <c r="BE26" s="132"/>
      <c r="BF26" s="105"/>
      <c r="BG26" s="132"/>
      <c r="BH26" s="132"/>
      <c r="BI26" s="132"/>
      <c r="BJ26" s="132"/>
      <c r="BK26" s="132"/>
      <c r="BL26" s="132"/>
      <c r="BM26" s="105"/>
      <c r="BN26" s="132"/>
      <c r="BO26" s="132"/>
      <c r="BP26" s="132"/>
      <c r="BQ26" s="132"/>
      <c r="BR26" s="132"/>
      <c r="BS26" s="132"/>
      <c r="BT26" s="105"/>
      <c r="BU26" s="132"/>
    </row>
    <row r="27" spans="1:181" s="138" customFormat="1">
      <c r="A27" s="423"/>
      <c r="B27" s="415">
        <v>13</v>
      </c>
      <c r="C27" s="48">
        <v>2</v>
      </c>
      <c r="D27" s="49">
        <v>2</v>
      </c>
      <c r="E27" s="50" t="s">
        <v>48</v>
      </c>
      <c r="F27" s="51" t="s">
        <v>98</v>
      </c>
      <c r="G27" s="91"/>
      <c r="H27" s="343" t="s">
        <v>35</v>
      </c>
      <c r="I27" s="53" t="s">
        <v>87</v>
      </c>
      <c r="J27" s="54"/>
      <c r="K27" s="55">
        <v>46223</v>
      </c>
      <c r="L27" s="260"/>
      <c r="M27" s="261">
        <f>B26</f>
        <v>12</v>
      </c>
      <c r="N27" s="56" t="s">
        <v>45</v>
      </c>
      <c r="O27" s="52" t="s">
        <v>109</v>
      </c>
      <c r="P27" s="50" t="s">
        <v>49</v>
      </c>
      <c r="Q27" s="50"/>
      <c r="R27" s="57">
        <v>3</v>
      </c>
      <c r="S27" s="58">
        <v>46223</v>
      </c>
      <c r="T27" s="59">
        <v>46225</v>
      </c>
      <c r="U27" s="60"/>
      <c r="V27" s="60"/>
      <c r="W27" s="64">
        <v>0</v>
      </c>
      <c r="X27" s="46"/>
      <c r="Y27" s="46"/>
      <c r="Z27" s="46"/>
      <c r="AA27" s="46"/>
      <c r="AB27" s="46"/>
      <c r="AC27" s="46"/>
      <c r="AD27" s="47"/>
      <c r="AE27" s="46"/>
      <c r="AF27" s="46"/>
      <c r="AG27" s="95"/>
      <c r="AH27" s="46"/>
      <c r="AI27" s="46"/>
      <c r="AJ27" s="46"/>
      <c r="AK27" s="47"/>
      <c r="AL27" s="428"/>
      <c r="AM27" s="46"/>
      <c r="AN27" s="46"/>
      <c r="AO27" s="46"/>
      <c r="AP27" s="46"/>
      <c r="AQ27" s="46"/>
      <c r="AR27" s="47"/>
      <c r="AS27" s="46"/>
      <c r="AT27" s="46"/>
      <c r="AU27" s="46"/>
      <c r="AV27" s="46"/>
      <c r="AW27" s="46"/>
      <c r="AX27" s="46"/>
      <c r="AY27" s="47"/>
      <c r="AZ27" s="46"/>
      <c r="BA27" s="46"/>
      <c r="BB27" s="46"/>
      <c r="BC27" s="46"/>
      <c r="BD27" s="46"/>
      <c r="BE27" s="46"/>
      <c r="BF27" s="47"/>
      <c r="BG27" s="91"/>
      <c r="BH27" s="91"/>
      <c r="BI27" s="91"/>
      <c r="BJ27" s="46"/>
      <c r="BK27" s="46"/>
      <c r="BL27" s="46"/>
      <c r="BM27" s="47"/>
      <c r="BN27" s="46"/>
      <c r="BO27" s="46"/>
      <c r="BP27" s="46"/>
      <c r="BQ27" s="46"/>
      <c r="BR27" s="46"/>
      <c r="BS27" s="46"/>
      <c r="BT27" s="47"/>
      <c r="BU27" s="46"/>
    </row>
    <row r="28" spans="1:181" s="138" customFormat="1">
      <c r="A28" s="423"/>
      <c r="B28" s="70">
        <v>14</v>
      </c>
      <c r="C28" s="48">
        <v>2</v>
      </c>
      <c r="D28" s="49">
        <v>2</v>
      </c>
      <c r="E28" s="50" t="s">
        <v>48</v>
      </c>
      <c r="F28" s="51" t="s">
        <v>99</v>
      </c>
      <c r="G28" s="91"/>
      <c r="H28" s="343" t="s">
        <v>83</v>
      </c>
      <c r="I28" s="53" t="s">
        <v>88</v>
      </c>
      <c r="J28" s="54"/>
      <c r="K28" s="55">
        <v>46226</v>
      </c>
      <c r="L28" s="260"/>
      <c r="M28" s="261">
        <f>B27</f>
        <v>13</v>
      </c>
      <c r="N28" s="56" t="s">
        <v>45</v>
      </c>
      <c r="O28" s="52" t="s">
        <v>110</v>
      </c>
      <c r="P28" s="50" t="s">
        <v>49</v>
      </c>
      <c r="Q28" s="50"/>
      <c r="R28" s="57">
        <v>5</v>
      </c>
      <c r="S28" s="58">
        <v>46226</v>
      </c>
      <c r="T28" s="59">
        <v>46230</v>
      </c>
      <c r="U28" s="60"/>
      <c r="V28" s="60"/>
      <c r="W28" s="64">
        <v>0</v>
      </c>
      <c r="X28" s="46"/>
      <c r="Y28" s="46"/>
      <c r="Z28" s="46"/>
      <c r="AA28" s="46"/>
      <c r="AB28" s="46"/>
      <c r="AC28" s="46"/>
      <c r="AD28" s="47"/>
      <c r="AE28" s="46"/>
      <c r="AF28" s="46"/>
      <c r="AG28" s="95"/>
      <c r="AH28" s="46"/>
      <c r="AI28" s="46"/>
      <c r="AJ28" s="46"/>
      <c r="AK28" s="47"/>
      <c r="AL28" s="428"/>
      <c r="AM28" s="46"/>
      <c r="AN28" s="46"/>
      <c r="AO28" s="46"/>
      <c r="AP28" s="46"/>
      <c r="AQ28" s="46"/>
      <c r="AR28" s="47"/>
      <c r="AS28" s="46"/>
      <c r="AT28" s="46"/>
      <c r="AU28" s="46"/>
      <c r="AV28" s="46"/>
      <c r="AW28" s="46"/>
      <c r="AX28" s="46"/>
      <c r="AY28" s="47"/>
      <c r="AZ28" s="46"/>
      <c r="BA28" s="46"/>
      <c r="BB28" s="46"/>
      <c r="BC28" s="46"/>
      <c r="BD28" s="46"/>
      <c r="BE28" s="46"/>
      <c r="BF28" s="47"/>
      <c r="BG28" s="46"/>
      <c r="BH28" s="46"/>
      <c r="BI28" s="46"/>
      <c r="BJ28" s="91"/>
      <c r="BK28" s="91"/>
      <c r="BL28" s="91"/>
      <c r="BM28" s="351"/>
      <c r="BN28" s="91"/>
      <c r="BO28" s="46"/>
      <c r="BP28" s="46"/>
      <c r="BQ28" s="46"/>
      <c r="BR28" s="46"/>
      <c r="BS28" s="46"/>
      <c r="BT28" s="47"/>
      <c r="BU28" s="46"/>
    </row>
    <row r="29" spans="1:181" s="291" customFormat="1">
      <c r="A29" s="424"/>
      <c r="B29" s="417">
        <v>15</v>
      </c>
      <c r="C29" s="277">
        <v>2</v>
      </c>
      <c r="D29" s="278">
        <v>2</v>
      </c>
      <c r="E29" s="279" t="s">
        <v>51</v>
      </c>
      <c r="F29" s="280" t="s">
        <v>100</v>
      </c>
      <c r="G29" s="281"/>
      <c r="H29" s="343" t="s">
        <v>83</v>
      </c>
      <c r="I29" s="282" t="s">
        <v>88</v>
      </c>
      <c r="J29" s="292"/>
      <c r="K29" s="283"/>
      <c r="L29" s="283">
        <v>46230</v>
      </c>
      <c r="M29" s="324">
        <f>B28</f>
        <v>14</v>
      </c>
      <c r="N29" s="325" t="s">
        <v>45</v>
      </c>
      <c r="O29" s="323" t="s">
        <v>108</v>
      </c>
      <c r="P29" s="279" t="s">
        <v>49</v>
      </c>
      <c r="Q29" s="279"/>
      <c r="R29" s="285"/>
      <c r="S29" s="286">
        <v>46230</v>
      </c>
      <c r="T29" s="443">
        <v>46230</v>
      </c>
      <c r="U29" s="326"/>
      <c r="V29" s="326"/>
      <c r="W29" s="287">
        <v>0.33</v>
      </c>
      <c r="X29" s="288"/>
      <c r="Y29" s="288"/>
      <c r="Z29" s="288"/>
      <c r="AA29" s="288"/>
      <c r="AB29" s="288"/>
      <c r="AC29" s="288"/>
      <c r="AD29" s="289"/>
      <c r="AE29" s="288"/>
      <c r="AF29" s="288"/>
      <c r="AG29" s="290"/>
      <c r="AH29" s="288"/>
      <c r="AI29" s="288"/>
      <c r="AJ29" s="288"/>
      <c r="AK29" s="289"/>
      <c r="AL29" s="433"/>
      <c r="AM29" s="288"/>
      <c r="AN29" s="288"/>
      <c r="AO29" s="288"/>
      <c r="AP29" s="288"/>
      <c r="AQ29" s="288"/>
      <c r="AR29" s="289"/>
      <c r="AS29" s="288"/>
      <c r="AT29" s="288"/>
      <c r="AU29" s="288"/>
      <c r="AV29" s="288"/>
      <c r="AW29" s="288"/>
      <c r="AX29" s="288"/>
      <c r="AY29" s="289"/>
      <c r="AZ29" s="288"/>
      <c r="BA29" s="288"/>
      <c r="BB29" s="288"/>
      <c r="BC29" s="288"/>
      <c r="BD29" s="288"/>
      <c r="BE29" s="284"/>
      <c r="BF29" s="289"/>
      <c r="BG29" s="288"/>
      <c r="BH29" s="288"/>
      <c r="BI29" s="288"/>
      <c r="BJ29" s="284"/>
      <c r="BK29" s="288"/>
      <c r="BL29" s="288"/>
      <c r="BM29" s="289"/>
      <c r="BN29" s="333" t="s">
        <v>54</v>
      </c>
      <c r="BO29" s="284"/>
      <c r="BP29" s="284"/>
      <c r="BQ29" s="284"/>
      <c r="BR29" s="284"/>
      <c r="BS29" s="284"/>
      <c r="BT29" s="338"/>
      <c r="BU29" s="288"/>
      <c r="BX29" s="329"/>
      <c r="BY29" s="329"/>
      <c r="CD29" s="329"/>
      <c r="CI29" s="329"/>
      <c r="CN29" s="329"/>
      <c r="CS29" s="329"/>
      <c r="CX29" s="329"/>
      <c r="DC29" s="329"/>
      <c r="DH29" s="329"/>
      <c r="DM29" s="329"/>
      <c r="DR29" s="329"/>
      <c r="DW29" s="329"/>
      <c r="EB29" s="329"/>
      <c r="EG29" s="329"/>
      <c r="EL29" s="329"/>
      <c r="EQ29" s="329"/>
      <c r="EV29" s="329"/>
      <c r="FA29" s="329"/>
      <c r="FF29" s="329"/>
      <c r="FK29" s="329"/>
      <c r="FP29" s="329"/>
      <c r="FU29" s="329"/>
    </row>
    <row r="30" spans="1:181" s="253" customFormat="1">
      <c r="A30" s="422"/>
      <c r="B30" s="418">
        <v>16</v>
      </c>
      <c r="C30" s="234">
        <v>3</v>
      </c>
      <c r="D30" s="235">
        <v>-1</v>
      </c>
      <c r="E30" s="236" t="s">
        <v>50</v>
      </c>
      <c r="F30" s="237" t="s">
        <v>101</v>
      </c>
      <c r="G30" s="238"/>
      <c r="H30" s="346"/>
      <c r="I30" s="237"/>
      <c r="J30" s="240"/>
      <c r="K30" s="241">
        <v>46190</v>
      </c>
      <c r="L30" s="266"/>
      <c r="M30" s="267"/>
      <c r="N30" s="242"/>
      <c r="O30" s="239"/>
      <c r="P30" s="243" t="s">
        <v>49</v>
      </c>
      <c r="Q30" s="244"/>
      <c r="R30" s="245">
        <v>45</v>
      </c>
      <c r="S30" s="246">
        <v>46190</v>
      </c>
      <c r="T30" s="247">
        <v>46234</v>
      </c>
      <c r="U30" s="248"/>
      <c r="V30" s="248"/>
      <c r="W30" s="249">
        <v>0.25</v>
      </c>
      <c r="X30" s="250"/>
      <c r="Y30" s="250"/>
      <c r="Z30" s="408"/>
      <c r="AA30" s="408"/>
      <c r="AB30" s="408"/>
      <c r="AC30" s="408"/>
      <c r="AD30" s="409"/>
      <c r="AE30" s="408"/>
      <c r="AF30" s="408"/>
      <c r="AG30" s="410"/>
      <c r="AH30" s="408"/>
      <c r="AI30" s="408"/>
      <c r="AJ30" s="408"/>
      <c r="AK30" s="252"/>
      <c r="AL30" s="438"/>
      <c r="AM30" s="238"/>
      <c r="AN30" s="238"/>
      <c r="AO30" s="238"/>
      <c r="AP30" s="238"/>
      <c r="AQ30" s="238"/>
      <c r="AR30" s="252"/>
      <c r="AS30" s="238"/>
      <c r="AT30" s="238"/>
      <c r="AU30" s="238"/>
      <c r="AV30" s="238"/>
      <c r="AW30" s="238"/>
      <c r="AX30" s="238"/>
      <c r="AY30" s="252"/>
      <c r="AZ30" s="238"/>
      <c r="BA30" s="238"/>
      <c r="BB30" s="238"/>
      <c r="BC30" s="238"/>
      <c r="BD30" s="238"/>
      <c r="BE30" s="238"/>
      <c r="BF30" s="252"/>
      <c r="BG30" s="238"/>
      <c r="BH30" s="238"/>
      <c r="BI30" s="238"/>
      <c r="BJ30" s="238"/>
      <c r="BK30" s="238"/>
      <c r="BL30" s="238"/>
      <c r="BM30" s="252"/>
      <c r="BN30" s="238"/>
      <c r="BO30" s="238"/>
      <c r="BP30" s="238"/>
      <c r="BQ30" s="238"/>
      <c r="BR30" s="238"/>
      <c r="BS30" s="250"/>
      <c r="BT30" s="251"/>
      <c r="BU30" s="250"/>
    </row>
    <row r="31" spans="1:181" s="233" customFormat="1">
      <c r="A31" s="423"/>
      <c r="B31" s="415">
        <v>17</v>
      </c>
      <c r="C31" s="214">
        <v>3</v>
      </c>
      <c r="D31" s="215">
        <v>2</v>
      </c>
      <c r="E31" s="216" t="s">
        <v>48</v>
      </c>
      <c r="F31" s="217" t="s">
        <v>102</v>
      </c>
      <c r="G31" s="218"/>
      <c r="H31" s="348" t="s">
        <v>35</v>
      </c>
      <c r="I31" s="220" t="s">
        <v>87</v>
      </c>
      <c r="J31" s="221"/>
      <c r="K31" s="222">
        <v>46190</v>
      </c>
      <c r="L31" s="270"/>
      <c r="M31" s="271"/>
      <c r="N31" s="223"/>
      <c r="O31" s="219"/>
      <c r="P31" s="224" t="s">
        <v>49</v>
      </c>
      <c r="Q31" s="216"/>
      <c r="R31" s="225">
        <v>3</v>
      </c>
      <c r="S31" s="226">
        <v>46190</v>
      </c>
      <c r="T31" s="227">
        <v>46192</v>
      </c>
      <c r="U31" s="228"/>
      <c r="V31" s="228"/>
      <c r="W31" s="229">
        <v>1</v>
      </c>
      <c r="X31" s="230"/>
      <c r="Y31" s="230"/>
      <c r="Z31" s="412"/>
      <c r="AA31" s="412"/>
      <c r="AB31" s="412"/>
      <c r="AC31" s="230"/>
      <c r="AD31" s="231"/>
      <c r="AE31" s="230"/>
      <c r="AF31" s="230"/>
      <c r="AG31" s="232"/>
      <c r="AH31" s="230"/>
      <c r="AI31" s="230"/>
      <c r="AJ31" s="230"/>
      <c r="AK31" s="231"/>
      <c r="AL31" s="434"/>
      <c r="AM31" s="230"/>
      <c r="AN31" s="230"/>
      <c r="AO31" s="230"/>
      <c r="AP31" s="230"/>
      <c r="AQ31" s="230"/>
      <c r="AR31" s="231"/>
      <c r="AS31" s="230"/>
      <c r="AT31" s="230"/>
      <c r="AU31" s="230"/>
      <c r="AV31" s="230"/>
      <c r="AW31" s="230"/>
      <c r="AX31" s="230"/>
      <c r="AY31" s="231"/>
      <c r="AZ31" s="230"/>
      <c r="BA31" s="230"/>
      <c r="BB31" s="230"/>
      <c r="BC31" s="230"/>
      <c r="BD31" s="230"/>
      <c r="BE31" s="230"/>
      <c r="BF31" s="231"/>
      <c r="BG31" s="230"/>
      <c r="BH31" s="230"/>
      <c r="BI31" s="230"/>
      <c r="BJ31" s="230"/>
      <c r="BK31" s="230"/>
      <c r="BL31" s="230"/>
      <c r="BM31" s="231"/>
      <c r="BN31" s="230"/>
      <c r="BO31" s="230"/>
      <c r="BP31" s="230"/>
      <c r="BQ31" s="230"/>
      <c r="BR31" s="230"/>
      <c r="BS31" s="230"/>
      <c r="BT31" s="231"/>
      <c r="BU31" s="230"/>
    </row>
    <row r="32" spans="1:181" s="213" customFormat="1">
      <c r="A32" s="423"/>
      <c r="B32" s="415">
        <v>18</v>
      </c>
      <c r="C32" s="193">
        <v>3</v>
      </c>
      <c r="D32" s="194">
        <v>2</v>
      </c>
      <c r="E32" s="195" t="s">
        <v>48</v>
      </c>
      <c r="F32" s="196" t="s">
        <v>103</v>
      </c>
      <c r="G32" s="197"/>
      <c r="H32" s="349" t="s">
        <v>86</v>
      </c>
      <c r="I32" s="199" t="s">
        <v>91</v>
      </c>
      <c r="J32" s="200"/>
      <c r="K32" s="201">
        <v>46193</v>
      </c>
      <c r="L32" s="272"/>
      <c r="M32" s="273"/>
      <c r="N32" s="202"/>
      <c r="O32" s="198"/>
      <c r="P32" s="203" t="s">
        <v>49</v>
      </c>
      <c r="Q32" s="195"/>
      <c r="R32" s="204">
        <v>1</v>
      </c>
      <c r="S32" s="205">
        <v>46193</v>
      </c>
      <c r="T32" s="206">
        <v>46193</v>
      </c>
      <c r="U32" s="207"/>
      <c r="V32" s="207"/>
      <c r="W32" s="208">
        <v>1</v>
      </c>
      <c r="X32" s="209"/>
      <c r="Y32" s="209"/>
      <c r="Z32" s="209"/>
      <c r="AA32" s="209"/>
      <c r="AB32" s="209"/>
      <c r="AC32" s="413"/>
      <c r="AD32" s="210"/>
      <c r="AE32" s="209"/>
      <c r="AF32" s="209"/>
      <c r="AG32" s="211"/>
      <c r="AH32" s="209"/>
      <c r="AI32" s="209"/>
      <c r="AJ32" s="209"/>
      <c r="AK32" s="210"/>
      <c r="AL32" s="435"/>
      <c r="AM32" s="209"/>
      <c r="AN32" s="209"/>
      <c r="AO32" s="209"/>
      <c r="AP32" s="209"/>
      <c r="AQ32" s="209"/>
      <c r="AR32" s="210"/>
      <c r="AS32" s="209"/>
      <c r="AT32" s="209"/>
      <c r="AU32" s="209"/>
      <c r="AV32" s="209"/>
      <c r="AW32" s="209"/>
      <c r="AX32" s="209"/>
      <c r="AY32" s="210"/>
      <c r="AZ32" s="209"/>
      <c r="BA32" s="209"/>
      <c r="BB32" s="209"/>
      <c r="BC32" s="209"/>
      <c r="BD32" s="209"/>
      <c r="BE32" s="209"/>
      <c r="BF32" s="210"/>
      <c r="BG32" s="209"/>
      <c r="BH32" s="209"/>
      <c r="BI32" s="209"/>
      <c r="BJ32" s="209"/>
      <c r="BK32" s="209"/>
      <c r="BL32" s="209"/>
      <c r="BM32" s="210"/>
      <c r="BN32" s="209"/>
      <c r="BO32" s="209"/>
      <c r="BP32" s="209"/>
      <c r="BQ32" s="209"/>
      <c r="BR32" s="209"/>
      <c r="BS32" s="209"/>
      <c r="BT32" s="210"/>
      <c r="BU32" s="209"/>
    </row>
    <row r="33" spans="1:169" s="213" customFormat="1">
      <c r="A33" s="423"/>
      <c r="B33" s="415">
        <v>19</v>
      </c>
      <c r="C33" s="193">
        <v>3</v>
      </c>
      <c r="D33" s="194">
        <v>2</v>
      </c>
      <c r="E33" s="195" t="s">
        <v>48</v>
      </c>
      <c r="F33" s="196" t="s">
        <v>104</v>
      </c>
      <c r="G33" s="197"/>
      <c r="H33" s="349" t="s">
        <v>35</v>
      </c>
      <c r="I33" s="199" t="s">
        <v>87</v>
      </c>
      <c r="J33" s="200"/>
      <c r="K33" s="201">
        <v>46223</v>
      </c>
      <c r="L33" s="272"/>
      <c r="M33" s="273"/>
      <c r="N33" s="202"/>
      <c r="O33" s="198"/>
      <c r="P33" s="203" t="s">
        <v>49</v>
      </c>
      <c r="Q33" s="195"/>
      <c r="R33" s="204">
        <v>7</v>
      </c>
      <c r="S33" s="205">
        <v>46223</v>
      </c>
      <c r="T33" s="206">
        <v>46229</v>
      </c>
      <c r="U33" s="207"/>
      <c r="V33" s="207"/>
      <c r="W33" s="208">
        <v>0</v>
      </c>
      <c r="X33" s="209"/>
      <c r="Y33" s="209"/>
      <c r="Z33" s="209"/>
      <c r="AA33" s="209"/>
      <c r="AB33" s="209"/>
      <c r="AC33" s="209"/>
      <c r="AD33" s="210"/>
      <c r="AE33" s="209"/>
      <c r="AF33" s="209"/>
      <c r="AG33" s="211"/>
      <c r="AH33" s="209"/>
      <c r="AI33" s="209"/>
      <c r="AJ33" s="209"/>
      <c r="AK33" s="210"/>
      <c r="AL33" s="435"/>
      <c r="AM33" s="209"/>
      <c r="AN33" s="209"/>
      <c r="AO33" s="209"/>
      <c r="AP33" s="209"/>
      <c r="AQ33" s="209"/>
      <c r="AR33" s="210"/>
      <c r="AS33" s="209"/>
      <c r="AT33" s="209"/>
      <c r="AU33" s="209"/>
      <c r="AV33" s="209"/>
      <c r="AW33" s="209"/>
      <c r="AX33" s="209"/>
      <c r="AY33" s="210"/>
      <c r="AZ33" s="209"/>
      <c r="BA33" s="209"/>
      <c r="BB33" s="209"/>
      <c r="BC33" s="209"/>
      <c r="BD33" s="209"/>
      <c r="BE33" s="209"/>
      <c r="BF33" s="210"/>
      <c r="BG33" s="197"/>
      <c r="BH33" s="197"/>
      <c r="BI33" s="197"/>
      <c r="BJ33" s="197"/>
      <c r="BK33" s="197"/>
      <c r="BL33" s="197"/>
      <c r="BM33" s="212"/>
      <c r="BN33" s="209"/>
      <c r="BO33" s="209"/>
      <c r="BP33" s="209"/>
      <c r="BQ33" s="209"/>
      <c r="BR33" s="209"/>
      <c r="BS33" s="209"/>
      <c r="BT33" s="210"/>
      <c r="BU33" s="209"/>
    </row>
    <row r="34" spans="1:169" s="213" customFormat="1">
      <c r="A34" s="423"/>
      <c r="B34" s="70">
        <v>20</v>
      </c>
      <c r="C34" s="193">
        <v>3</v>
      </c>
      <c r="D34" s="305">
        <v>2</v>
      </c>
      <c r="E34" s="195" t="s">
        <v>48</v>
      </c>
      <c r="F34" s="196" t="s">
        <v>105</v>
      </c>
      <c r="G34" s="197"/>
      <c r="H34" s="349" t="s">
        <v>84</v>
      </c>
      <c r="I34" s="199" t="s">
        <v>92</v>
      </c>
      <c r="J34" s="318"/>
      <c r="K34" s="201">
        <v>46230</v>
      </c>
      <c r="L34" s="272"/>
      <c r="M34" s="273"/>
      <c r="N34" s="202"/>
      <c r="O34" s="198"/>
      <c r="P34" s="203" t="s">
        <v>49</v>
      </c>
      <c r="Q34" s="310"/>
      <c r="R34" s="311">
        <v>5</v>
      </c>
      <c r="S34" s="205">
        <v>46230</v>
      </c>
      <c r="T34" s="313">
        <v>46234</v>
      </c>
      <c r="U34" s="207"/>
      <c r="V34" s="315"/>
      <c r="W34" s="316">
        <v>0</v>
      </c>
      <c r="X34" s="209"/>
      <c r="Y34" s="209"/>
      <c r="Z34" s="209"/>
      <c r="AA34" s="209"/>
      <c r="AB34" s="209"/>
      <c r="AC34" s="209"/>
      <c r="AD34" s="210"/>
      <c r="AE34" s="209"/>
      <c r="AF34" s="209"/>
      <c r="AG34" s="211"/>
      <c r="AH34" s="209"/>
      <c r="AI34" s="209"/>
      <c r="AJ34" s="209"/>
      <c r="AK34" s="210"/>
      <c r="AL34" s="435"/>
      <c r="AM34" s="209"/>
      <c r="AN34" s="209"/>
      <c r="AO34" s="209"/>
      <c r="AP34" s="209"/>
      <c r="AQ34" s="209"/>
      <c r="AR34" s="210"/>
      <c r="AS34" s="209"/>
      <c r="AT34" s="209"/>
      <c r="AU34" s="209"/>
      <c r="AV34" s="209"/>
      <c r="AW34" s="209"/>
      <c r="AX34" s="209"/>
      <c r="AY34" s="210"/>
      <c r="AZ34" s="209"/>
      <c r="BA34" s="209"/>
      <c r="BB34" s="209"/>
      <c r="BC34" s="209"/>
      <c r="BD34" s="209"/>
      <c r="BE34" s="209"/>
      <c r="BF34" s="210"/>
      <c r="BG34" s="209"/>
      <c r="BH34" s="209"/>
      <c r="BI34" s="209"/>
      <c r="BJ34" s="209"/>
      <c r="BK34" s="209"/>
      <c r="BL34" s="209"/>
      <c r="BM34" s="210"/>
      <c r="BN34" s="197"/>
      <c r="BO34" s="197"/>
      <c r="BP34" s="197"/>
      <c r="BQ34" s="197"/>
      <c r="BR34" s="197"/>
      <c r="BS34" s="209"/>
      <c r="BT34" s="210"/>
      <c r="BU34" s="209"/>
    </row>
    <row r="35" spans="1:169" s="302" customFormat="1">
      <c r="A35" s="424"/>
      <c r="B35" s="419">
        <v>21</v>
      </c>
      <c r="C35" s="303">
        <v>3</v>
      </c>
      <c r="D35" s="304">
        <v>3</v>
      </c>
      <c r="E35" s="306" t="s">
        <v>51</v>
      </c>
      <c r="F35" s="294" t="s">
        <v>106</v>
      </c>
      <c r="G35" s="295"/>
      <c r="H35" s="350" t="s">
        <v>84</v>
      </c>
      <c r="I35" s="293" t="s">
        <v>92</v>
      </c>
      <c r="J35" s="296"/>
      <c r="K35" s="308">
        <v>46234</v>
      </c>
      <c r="L35" s="320"/>
      <c r="M35" s="321"/>
      <c r="N35" s="309"/>
      <c r="O35" s="307"/>
      <c r="P35" s="319" t="s">
        <v>49</v>
      </c>
      <c r="Q35" s="306"/>
      <c r="R35" s="312"/>
      <c r="S35" s="297">
        <v>46234</v>
      </c>
      <c r="T35" s="298">
        <v>46234</v>
      </c>
      <c r="U35" s="314"/>
      <c r="V35" s="314"/>
      <c r="W35" s="317">
        <v>0.25</v>
      </c>
      <c r="X35" s="299"/>
      <c r="Y35" s="299"/>
      <c r="Z35" s="299"/>
      <c r="AA35" s="299"/>
      <c r="AB35" s="299"/>
      <c r="AC35" s="299"/>
      <c r="AD35" s="300"/>
      <c r="AE35" s="299"/>
      <c r="AF35" s="299"/>
      <c r="AG35" s="301"/>
      <c r="AH35" s="299"/>
      <c r="AI35" s="299"/>
      <c r="AJ35" s="299"/>
      <c r="AK35" s="300"/>
      <c r="AL35" s="436"/>
      <c r="AM35" s="299"/>
      <c r="AN35" s="299"/>
      <c r="AO35" s="299"/>
      <c r="AP35" s="299"/>
      <c r="AQ35" s="299"/>
      <c r="AR35" s="300"/>
      <c r="AS35" s="299"/>
      <c r="AT35" s="299"/>
      <c r="AU35" s="299"/>
      <c r="AV35" s="299"/>
      <c r="AW35" s="327"/>
      <c r="AX35" s="299"/>
      <c r="AY35" s="300"/>
      <c r="AZ35" s="299"/>
      <c r="BA35" s="299"/>
      <c r="BB35" s="327"/>
      <c r="BC35" s="299"/>
      <c r="BD35" s="299"/>
      <c r="BE35" s="299"/>
      <c r="BF35" s="300"/>
      <c r="BG35" s="327"/>
      <c r="BH35" s="299"/>
      <c r="BI35" s="299"/>
      <c r="BJ35" s="299"/>
      <c r="BK35" s="299"/>
      <c r="BL35" s="327"/>
      <c r="BM35" s="300"/>
      <c r="BN35" s="299"/>
      <c r="BO35" s="299"/>
      <c r="BP35" s="299"/>
      <c r="BQ35" s="327"/>
      <c r="BR35" s="322" t="s">
        <v>54</v>
      </c>
      <c r="BS35" s="299"/>
      <c r="BT35" s="300"/>
      <c r="BU35" s="299"/>
      <c r="BV35" s="330"/>
      <c r="BW35" s="330"/>
      <c r="CA35" s="330"/>
      <c r="CB35" s="330"/>
      <c r="CF35" s="330"/>
      <c r="CK35" s="330"/>
      <c r="CP35" s="330"/>
      <c r="CU35" s="330"/>
      <c r="CZ35" s="330"/>
      <c r="DE35" s="330"/>
      <c r="DJ35" s="330"/>
      <c r="DO35" s="330"/>
      <c r="DT35" s="330"/>
      <c r="DY35" s="330"/>
      <c r="ED35" s="330"/>
      <c r="EI35" s="330"/>
      <c r="EN35" s="330"/>
      <c r="ES35" s="330"/>
      <c r="EX35" s="330"/>
      <c r="FC35" s="330"/>
      <c r="FH35" s="330"/>
      <c r="FM35" s="330"/>
    </row>
    <row r="36" spans="1:169" s="132" customFormat="1">
      <c r="A36" s="134"/>
      <c r="B36" s="134"/>
      <c r="C36" s="134"/>
      <c r="D36" s="134"/>
      <c r="E36" s="134"/>
      <c r="F36" s="134"/>
      <c r="G36" s="134"/>
      <c r="H36" s="134"/>
      <c r="I36" s="134"/>
      <c r="J36" s="141"/>
      <c r="K36" s="134"/>
      <c r="L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AD36" s="105"/>
      <c r="AK36" s="105"/>
      <c r="AR36" s="105"/>
      <c r="AY36" s="105"/>
      <c r="BF36" s="105"/>
      <c r="BM36" s="105"/>
      <c r="BT36" s="105"/>
    </row>
    <row r="37" spans="1:169">
      <c r="L37" s="93"/>
      <c r="M37" s="90"/>
    </row>
    <row r="38" spans="1:169">
      <c r="L38" s="93"/>
      <c r="M38" s="90"/>
    </row>
    <row r="39" spans="1:169">
      <c r="L39" s="93"/>
      <c r="M39" s="90"/>
    </row>
  </sheetData>
  <mergeCells count="77">
    <mergeCell ref="X1:AD1"/>
    <mergeCell ref="AE4:AO4"/>
    <mergeCell ref="X4:AD4"/>
    <mergeCell ref="X2:AC3"/>
    <mergeCell ref="AE2:AJ3"/>
    <mergeCell ref="AD2:AD3"/>
    <mergeCell ref="AE1:AJ1"/>
    <mergeCell ref="B12:D12"/>
    <mergeCell ref="E12:J12"/>
    <mergeCell ref="K10:T10"/>
    <mergeCell ref="U10:V10"/>
    <mergeCell ref="K11:T11"/>
    <mergeCell ref="U11:V11"/>
    <mergeCell ref="K12:T12"/>
    <mergeCell ref="U12:V12"/>
    <mergeCell ref="X5:AD5"/>
    <mergeCell ref="AE5:AO5"/>
    <mergeCell ref="Y10:Y12"/>
    <mergeCell ref="Z10:Z12"/>
    <mergeCell ref="AA10:AA12"/>
    <mergeCell ref="AF10:AF12"/>
    <mergeCell ref="AJ10:AJ12"/>
    <mergeCell ref="AG10:AG12"/>
    <mergeCell ref="AH10:AH12"/>
    <mergeCell ref="AI10:AI12"/>
    <mergeCell ref="X6:AD6"/>
    <mergeCell ref="AE6:AO6"/>
    <mergeCell ref="X7:AD7"/>
    <mergeCell ref="AE7:AO7"/>
    <mergeCell ref="AB10:AB12"/>
    <mergeCell ref="AC10:AC12"/>
    <mergeCell ref="N13:O13"/>
    <mergeCell ref="X10:X12"/>
    <mergeCell ref="AD10:AD12"/>
    <mergeCell ref="AE10:AE12"/>
    <mergeCell ref="CH1:CM1"/>
    <mergeCell ref="AO10:AO12"/>
    <mergeCell ref="AK10:AK12"/>
    <mergeCell ref="AL10:AL12"/>
    <mergeCell ref="AM10:AM12"/>
    <mergeCell ref="AN10:AN12"/>
    <mergeCell ref="AP10:AP12"/>
    <mergeCell ref="AR10:AR12"/>
    <mergeCell ref="AS10:AS12"/>
    <mergeCell ref="AW10:AW12"/>
    <mergeCell ref="AT10:AT12"/>
    <mergeCell ref="AU10:AU12"/>
    <mergeCell ref="A1:W3"/>
    <mergeCell ref="I4:W4"/>
    <mergeCell ref="BR10:BR12"/>
    <mergeCell ref="BS10:BS12"/>
    <mergeCell ref="BT10:BT12"/>
    <mergeCell ref="BH10:BH12"/>
    <mergeCell ref="BI10:BI12"/>
    <mergeCell ref="BJ10:BJ12"/>
    <mergeCell ref="BK10:BK12"/>
    <mergeCell ref="BL10:BL12"/>
    <mergeCell ref="BC10:BC12"/>
    <mergeCell ref="BD10:BD12"/>
    <mergeCell ref="BE10:BE12"/>
    <mergeCell ref="BF10:BF12"/>
    <mergeCell ref="BG10:BG12"/>
    <mergeCell ref="AX10:AX12"/>
    <mergeCell ref="AR1:AZ3"/>
    <mergeCell ref="AK1:AQ3"/>
    <mergeCell ref="BU10:BU12"/>
    <mergeCell ref="BM10:BM12"/>
    <mergeCell ref="BN10:BN12"/>
    <mergeCell ref="BO10:BO12"/>
    <mergeCell ref="BP10:BP12"/>
    <mergeCell ref="BQ10:BQ12"/>
    <mergeCell ref="AY10:AY12"/>
    <mergeCell ref="AZ10:AZ12"/>
    <mergeCell ref="BA10:BA12"/>
    <mergeCell ref="BB10:BB12"/>
    <mergeCell ref="AV10:AV12"/>
    <mergeCell ref="AQ10:AQ12"/>
  </mergeCells>
  <phoneticPr fontId="16" type="noConversion"/>
  <dataValidations count="8">
    <dataValidation allowBlank="1" showInputMessage="1" showErrorMessage="1" promptTitle="DropDown Selection Info" prompt="FS= Finish to Start(Activity starts after linked one ends)_x000a_SS= Start to Start(Activity starts at the same day as linked one)_x000a_SF= Start to Finish(Activity finishes before the linked one)_x000a_FF= Finish to Finish(Activity finishes at the same day as linked one)" sqref="P13" xr:uid="{AF7418FA-9C02-4C32-8930-8F4DA9C6F8D2}"/>
    <dataValidation type="list" allowBlank="1" showInputMessage="1" showErrorMessage="1" sqref="AE5" xr:uid="{A82920FF-F86D-48C0-9879-CDD90DB66784}">
      <formula1>"Default, Project Structure, Team Roles, Issues"</formula1>
    </dataValidation>
    <dataValidation type="list" allowBlank="1" showInputMessage="1" showErrorMessage="1" sqref="AE6:AO6" xr:uid="{058890F7-3B52-429F-B251-1ABF1E72E17A}">
      <formula1>"Plan,Plan vs Base"</formula1>
    </dataValidation>
    <dataValidation type="list" allowBlank="1" showInputMessage="1" showErrorMessage="1" sqref="AE7:AO7" xr:uid="{035E9DE9-FE4B-4A84-B280-EB712482BBF0}">
      <formula1>"Yes, No"</formula1>
    </dataValidation>
    <dataValidation type="list" allowBlank="1" showInputMessage="1" showErrorMessage="1" sqref="P15:P35" xr:uid="{F71B8DAF-538B-425B-9928-894E2D0B19A6}">
      <formula1>"FS,SS,SF,FF"</formula1>
    </dataValidation>
    <dataValidation type="list" allowBlank="1" showInputMessage="1" showErrorMessage="1" sqref="E15:E36" xr:uid="{5588321F-A89D-4DB5-B259-C173368CB2D7}">
      <formula1>"S,T,M"</formula1>
    </dataValidation>
    <dataValidation type="list" allowBlank="1" showInputMessage="1" showErrorMessage="1" sqref="J15:J36" xr:uid="{7E1E70CC-D81B-4996-9206-07BE174DB05E}">
      <formula1>WarningList</formula1>
    </dataValidation>
    <dataValidation type="list" allowBlank="1" showInputMessage="1" showErrorMessage="1" sqref="AE4:AO4" xr:uid="{A962968E-FDFF-422D-B97C-9CB5B439AB67}">
      <formula1>OFFSET($W$10, 0, 0, 1, COUNTA($W$10:$XFD$10))</formula1>
    </dataValidation>
  </dataValidations>
  <hyperlinks>
    <hyperlink ref="CH1:CM1" location="Settings!X2" tooltip="Go to settings" display="Settings" xr:uid="{4FADA1D4-4497-4320-81A8-5224B9560794}"/>
  </hyperlinks>
  <pageMargins left="0.17" right="0.13" top="0.5" bottom="0.75" header="0.22" footer="0.3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36" r:id="rId4" name="ScrollBar1">
          <controlPr defaultSize="0" autoLine="0" r:id="rId5">
            <anchor moveWithCells="1">
              <from>
                <xdr:col>23</xdr:col>
                <xdr:colOff>50800</xdr:colOff>
                <xdr:row>7</xdr:row>
                <xdr:rowOff>0</xdr:rowOff>
              </from>
              <to>
                <xdr:col>29</xdr:col>
                <xdr:colOff>76200</xdr:colOff>
                <xdr:row>7</xdr:row>
                <xdr:rowOff>222250</xdr:rowOff>
              </to>
            </anchor>
          </controlPr>
        </control>
      </mc:Choice>
      <mc:Fallback>
        <control shapeId="1036" r:id="rId4" name="ScrollBar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89A11D-04EC-4A50-841F-4A56C903D5AD}">
          <x14:formula1>
            <xm:f>Settings!$N$9:$N$14</xm:f>
          </x14:formula1>
          <xm:sqref>I15:I36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 Abou Jaoude</dc:creator>
  <cp:lastModifiedBy>SAMSUNG</cp:lastModifiedBy>
  <cp:lastPrinted>2026-06-24T11:15:33Z</cp:lastPrinted>
  <dcterms:created xsi:type="dcterms:W3CDTF">2024-10-30T12:35:48Z</dcterms:created>
  <dcterms:modified xsi:type="dcterms:W3CDTF">2026-06-24T11:16:18Z</dcterms:modified>
</cp:coreProperties>
</file>